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"/>
    </mc:Choice>
  </mc:AlternateContent>
  <xr:revisionPtr revIDLastSave="0" documentId="13_ncr:1_{1210AA7F-E5AF-4A22-B475-317150DAB26F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후원목록" sheetId="1" r:id="rId1"/>
    <sheet name="온플" sheetId="2" r:id="rId2"/>
    <sheet name="은플" sheetId="3" r:id="rId3"/>
    <sheet name="온마" sheetId="5" r:id="rId4"/>
    <sheet name="은마" sheetId="4" r:id="rId5"/>
    <sheet name="전체 후원자 순위" sheetId="6" r:id="rId6"/>
    <sheet name="온플 후원자 순위" sheetId="7" r:id="rId7"/>
    <sheet name="은플 후원자 순위" sheetId="8" r:id="rId8"/>
    <sheet name="온마 후원자 순위" sheetId="9" r:id="rId9"/>
    <sheet name="은마 후원자 순위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D5" i="10"/>
  <c r="E4" i="10"/>
  <c r="D4" i="10"/>
  <c r="E3" i="10"/>
  <c r="E6" i="10" s="1"/>
  <c r="D3" i="10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E20" i="7" s="1"/>
  <c r="D3" i="7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J5" i="4"/>
  <c r="I5" i="4"/>
  <c r="J32" i="5"/>
  <c r="I32" i="5"/>
  <c r="J86" i="3"/>
  <c r="I86" i="3"/>
  <c r="J58" i="2"/>
  <c r="I58" i="2"/>
  <c r="J175" i="1"/>
  <c r="I175" i="1"/>
  <c r="E31" i="6" l="1"/>
  <c r="E11" i="9"/>
  <c r="D23" i="8"/>
  <c r="E23" i="8"/>
  <c r="D20" i="7"/>
  <c r="D11" i="9"/>
  <c r="D31" i="6"/>
  <c r="D6" i="10"/>
</calcChain>
</file>

<file path=xl/sharedStrings.xml><?xml version="1.0" encoding="utf-8"?>
<sst xmlns="http://schemas.openxmlformats.org/spreadsheetml/2006/main" count="2678" uniqueCount="383">
  <si>
    <t>c1</t>
  </si>
  <si>
    <t>시간</t>
  </si>
  <si>
    <t>방송시간</t>
  </si>
  <si>
    <t>닉네임</t>
  </si>
  <si>
    <t>아이디</t>
  </si>
  <si>
    <t>후원스트리머</t>
  </si>
  <si>
    <t>후원스트리머아이디</t>
  </si>
  <si>
    <t>풍선종류</t>
  </si>
  <si>
    <t>개수</t>
  </si>
  <si>
    <t>원플원</t>
  </si>
  <si>
    <t>채팅</t>
  </si>
  <si>
    <t>0:00:00</t>
  </si>
  <si>
    <t>차은돌</t>
  </si>
  <si>
    <t>ckxoghksdlek</t>
  </si>
  <si>
    <t>체온</t>
  </si>
  <si>
    <t>leeso0403</t>
  </si>
  <si>
    <t>별풍선</t>
  </si>
  <si>
    <t>은채</t>
  </si>
  <si>
    <t>0:02:50</t>
  </si>
  <si>
    <t>뱀체온</t>
  </si>
  <si>
    <t>ehdtjq3304</t>
  </si>
  <si>
    <t>가즈아</t>
  </si>
  <si>
    <t>0:04:17</t>
  </si>
  <si>
    <t>30분 ㅅㅅ 온마</t>
  </si>
  <si>
    <t>0:05:08</t>
  </si>
  <si>
    <t>#페라리</t>
  </si>
  <si>
    <t>cash11111</t>
  </si>
  <si>
    <t>온마</t>
  </si>
  <si>
    <t>0:05:57</t>
  </si>
  <si>
    <t>0:06:27</t>
  </si>
  <si>
    <t>[은]부엉</t>
  </si>
  <si>
    <t>npeter7544</t>
  </si>
  <si>
    <t>은플</t>
  </si>
  <si>
    <t>0:06:29</t>
  </si>
  <si>
    <t>빡빡..</t>
  </si>
  <si>
    <t>chulbbak2</t>
  </si>
  <si>
    <t>먹튀 전대표급이제 ㄹㅇ 온마</t>
  </si>
  <si>
    <t>0:07:45</t>
  </si>
  <si>
    <t>설명 모르겟고 온마</t>
  </si>
  <si>
    <t>0:08:11</t>
  </si>
  <si>
    <t>야뤠℃</t>
  </si>
  <si>
    <t>lik9988</t>
  </si>
  <si>
    <t>에라 모르겠다 온마</t>
  </si>
  <si>
    <t>0:09:31</t>
  </si>
  <si>
    <t>은채가 나라다 은채가 미래다 은플</t>
  </si>
  <si>
    <t>0:10:02</t>
  </si>
  <si>
    <t>은체</t>
  </si>
  <si>
    <t>0:10:54</t>
  </si>
  <si>
    <t>[℃]천마당</t>
  </si>
  <si>
    <t>jein1161</t>
  </si>
  <si>
    <t>사람이 싫다 사퇴해라 온마</t>
  </si>
  <si>
    <t>0:11:02</t>
  </si>
  <si>
    <t>싫은데.</t>
  </si>
  <si>
    <t>ehddjs92</t>
  </si>
  <si>
    <t>은채님이 미래네요</t>
  </si>
  <si>
    <t>0:11:03</t>
  </si>
  <si>
    <t>너라서 싫다 온마</t>
  </si>
  <si>
    <t>0:12:48</t>
  </si>
  <si>
    <t>바람 존나피네 은마 너도 싫다 이제</t>
  </si>
  <si>
    <t>0:13:00</t>
  </si>
  <si>
    <t>은마</t>
  </si>
  <si>
    <t>0:13:21</t>
  </si>
  <si>
    <t>광대 내려라 온마</t>
  </si>
  <si>
    <t>0:13:38</t>
  </si>
  <si>
    <t>광대 올려라 은플</t>
  </si>
  <si>
    <t>0:13:39</t>
  </si>
  <si>
    <t>은채돌싱이엇네 개빡치네 온마</t>
  </si>
  <si>
    <t>0:14:50</t>
  </si>
  <si>
    <t>마이너스 처받고 먹을생각이드냐 온마</t>
  </si>
  <si>
    <t>0:15:11</t>
  </si>
  <si>
    <t>후끼사</t>
  </si>
  <si>
    <t>ross92</t>
  </si>
  <si>
    <t>오니</t>
  </si>
  <si>
    <t>0:16:18</t>
  </si>
  <si>
    <t>0:18:01</t>
  </si>
  <si>
    <t>늙짱구</t>
  </si>
  <si>
    <t>gogosi369</t>
  </si>
  <si>
    <t>0:18:09</t>
  </si>
  <si>
    <t>온도</t>
  </si>
  <si>
    <t>0:19:30</t>
  </si>
  <si>
    <t>광대 올라가는게 싫다 온마</t>
  </si>
  <si>
    <t>0:19:40</t>
  </si>
  <si>
    <t>오늘 너무 못생겼다 온마</t>
  </si>
  <si>
    <t>0:19:49</t>
  </si>
  <si>
    <t>유전자 몰빵 자매한테 온마</t>
  </si>
  <si>
    <t>0:21:47</t>
  </si>
  <si>
    <t>자객*</t>
  </si>
  <si>
    <t>kimas019</t>
  </si>
  <si>
    <t>온 가져오슈</t>
  </si>
  <si>
    <t>0:23:20</t>
  </si>
  <si>
    <t>은버덕 힘내바 베비련한테 지면 마음아파</t>
  </si>
  <si>
    <t>0:25:10</t>
  </si>
  <si>
    <t>은채님은 아쉬우니 이거라도</t>
  </si>
  <si>
    <t>0:27:07</t>
  </si>
  <si>
    <t>정글on저튜브</t>
  </si>
  <si>
    <t>dus5024</t>
  </si>
  <si>
    <t>공약개혜자 ㅇㅈ 온플</t>
  </si>
  <si>
    <t>0:27:49</t>
  </si>
  <si>
    <t>묻</t>
  </si>
  <si>
    <t>0:39:19</t>
  </si>
  <si>
    <t>신호탄 ㄱㄱ 첫어벤단 신호탄했엇는데 ㄹㅇ 그때 네이버시계켜놓고했는데 펑</t>
  </si>
  <si>
    <t>0:40:32</t>
  </si>
  <si>
    <t>0:40:44</t>
  </si>
  <si>
    <t>0:41:01</t>
  </si>
  <si>
    <t>0:41:06</t>
  </si>
  <si>
    <t>0:42:18</t>
  </si>
  <si>
    <t>0:45:10</t>
  </si>
  <si>
    <t>0:51:56</t>
  </si>
  <si>
    <t>은채 한번춰바라</t>
  </si>
  <si>
    <t>0:54:08</t>
  </si>
  <si>
    <t>은채함해봐랑</t>
  </si>
  <si>
    <t>0:54:34</t>
  </si>
  <si>
    <t>define#</t>
  </si>
  <si>
    <t>sejun513</t>
  </si>
  <si>
    <t>지나가다 너무 이쁘셔서 처음 별풍선 충전해봅니다 리액션은 괜찮아요</t>
  </si>
  <si>
    <t>0:55:44</t>
  </si>
  <si>
    <t>블랙이요 ㅎㅎ</t>
  </si>
  <si>
    <t>1:01:15</t>
  </si>
  <si>
    <t>시간을구독중</t>
  </si>
  <si>
    <t>hiswish11</t>
  </si>
  <si>
    <t>은채핑 오랜만이네요 꾸벅</t>
  </si>
  <si>
    <t>1:01:35</t>
  </si>
  <si>
    <t>은채신호탄구경좀</t>
  </si>
  <si>
    <t>1:04:51</t>
  </si>
  <si>
    <t>미르히로</t>
  </si>
  <si>
    <t>lty9794</t>
  </si>
  <si>
    <t>간만에 한번 추는거보자ㅎ</t>
  </si>
  <si>
    <t>1:05:30</t>
  </si>
  <si>
    <t>1:06:40</t>
  </si>
  <si>
    <t>은채도 한번 춰야지</t>
  </si>
  <si>
    <t>1:08:12</t>
  </si>
  <si>
    <t>은채도 춤은 잘추네</t>
  </si>
  <si>
    <t>1:17:20</t>
  </si>
  <si>
    <t>룰렛</t>
  </si>
  <si>
    <t>은채핑
(0.6%) 2125</t>
  </si>
  <si>
    <t>1:17:28</t>
  </si>
  <si>
    <t>은채핑</t>
  </si>
  <si>
    <t>1:26:00</t>
  </si>
  <si>
    <t>coco1016</t>
  </si>
  <si>
    <t>coco02160418</t>
  </si>
  <si>
    <t>1:28:17</t>
  </si>
  <si>
    <t>유일한? 은마</t>
  </si>
  <si>
    <t>1:32:38</t>
  </si>
  <si>
    <t>불렀어??</t>
  </si>
  <si>
    <t>1:36:48</t>
  </si>
  <si>
    <t>1:37:30</t>
  </si>
  <si>
    <t>1:37:33</t>
  </si>
  <si>
    <t>찡찡[빈]팬</t>
  </si>
  <si>
    <t>twice3858</t>
  </si>
  <si>
    <t>1:38:14</t>
  </si>
  <si>
    <t>은채야 너도 해봐라</t>
  </si>
  <si>
    <t>1:40:13</t>
  </si>
  <si>
    <t>1:41:07</t>
  </si>
  <si>
    <t>1:44:04</t>
  </si>
  <si>
    <t>2연속 불발탄은 좀 그렇잖아?</t>
  </si>
  <si>
    <t>1:44:29</t>
  </si>
  <si>
    <t>1:46:29</t>
  </si>
  <si>
    <t>1:46:34</t>
  </si>
  <si>
    <t>1:49:36</t>
  </si>
  <si>
    <t>1:51:02</t>
  </si>
  <si>
    <t>밥 마싯게먹고 2차전 가야지!!</t>
  </si>
  <si>
    <t>1:51:45</t>
  </si>
  <si>
    <t>조정간단발℃</t>
  </si>
  <si>
    <t>1234gung</t>
  </si>
  <si>
    <t>체온
(0.6%) 1196</t>
  </si>
  <si>
    <t>1:53:34</t>
  </si>
  <si>
    <t>못받을거같으니 맛나게 먹어라</t>
  </si>
  <si>
    <t>1:58:10</t>
  </si>
  <si>
    <t>천천히 먹어라ㅋㅋㅋㅋㅋ체온</t>
  </si>
  <si>
    <t>2:25:37</t>
  </si>
  <si>
    <t>#그지빨빨이</t>
  </si>
  <si>
    <t>hiddenmow5</t>
  </si>
  <si>
    <t>2:26:02</t>
  </si>
  <si>
    <t>2:26:09</t>
  </si>
  <si>
    <t>2:26:16</t>
  </si>
  <si>
    <t>2:26:18</t>
  </si>
  <si>
    <t>이름이뭘까?</t>
  </si>
  <si>
    <t>tyu1103</t>
  </si>
  <si>
    <t>온</t>
  </si>
  <si>
    <t>2:28:00</t>
  </si>
  <si>
    <t>2:28:58</t>
  </si>
  <si>
    <t>ㅋ</t>
  </si>
  <si>
    <t>2:30:56</t>
  </si>
  <si>
    <t>은플 ㅋ</t>
  </si>
  <si>
    <t>2:32:39</t>
  </si>
  <si>
    <t>딸깍</t>
  </si>
  <si>
    <t>2:37:11</t>
  </si>
  <si>
    <t>체온
(1%) 301</t>
  </si>
  <si>
    <t>2:41:42</t>
  </si>
  <si>
    <t>체온 드잡이가자</t>
  </si>
  <si>
    <t>2:43:59</t>
  </si>
  <si>
    <t>ㅋㅋㅋ</t>
  </si>
  <si>
    <t>2:45:49</t>
  </si>
  <si>
    <t>2:47:10</t>
  </si>
  <si>
    <t>찍어눌러 그냥ㅋㅋㅋㅋㅋ</t>
  </si>
  <si>
    <t>2:52:57</t>
  </si>
  <si>
    <t>은채야 있어?</t>
  </si>
  <si>
    <t>2:53:31</t>
  </si>
  <si>
    <t>오베R</t>
  </si>
  <si>
    <t>nbearone1</t>
  </si>
  <si>
    <t>없쪄 ㅇㅈㄹ</t>
  </si>
  <si>
    <t>2:54:30</t>
  </si>
  <si>
    <t>비맞은강아쥐</t>
  </si>
  <si>
    <t>tjdals3018</t>
  </si>
  <si>
    <t>500</t>
  </si>
  <si>
    <t>2:55:05</t>
  </si>
  <si>
    <t>은채 완전 기도 못피네 울지마 뚝!</t>
  </si>
  <si>
    <t>2:55:47</t>
  </si>
  <si>
    <t>요거슨 온플</t>
  </si>
  <si>
    <t>2:56:51</t>
  </si>
  <si>
    <t>2:58:21</t>
  </si>
  <si>
    <t>2:58:47</t>
  </si>
  <si>
    <t>2:59:16</t>
  </si>
  <si>
    <t>3:00:17</t>
  </si>
  <si>
    <t>3:00:38</t>
  </si>
  <si>
    <t>3:00:44</t>
  </si>
  <si>
    <t>3:02:56</t>
  </si>
  <si>
    <t>야르야르야르 온</t>
  </si>
  <si>
    <t>3:03:45</t>
  </si>
  <si>
    <t>3:05:22</t>
  </si>
  <si>
    <t>첫여왕 ㄷㄷ</t>
  </si>
  <si>
    <t>3:05:31</t>
  </si>
  <si>
    <t>걸레왕점중</t>
  </si>
  <si>
    <t>rupang3093</t>
  </si>
  <si>
    <t>은</t>
  </si>
  <si>
    <t>3:06:38</t>
  </si>
  <si>
    <t>3:07:42</t>
  </si>
  <si>
    <t>3:07:45</t>
  </si>
  <si>
    <t>너</t>
  </si>
  <si>
    <t>3:09:21</t>
  </si>
  <si>
    <t>3:09:24</t>
  </si>
  <si>
    <t>대표는 더블링이 잘하네</t>
  </si>
  <si>
    <t>3:09:26</t>
  </si>
  <si>
    <t>대표쉐리없으니깐 보기 편하네</t>
  </si>
  <si>
    <t>3:11:09</t>
  </si>
  <si>
    <t>온마 온이있는거보단 방송 화면이 화사하다</t>
  </si>
  <si>
    <t>3:11:15</t>
  </si>
  <si>
    <t>3:11:18</t>
  </si>
  <si>
    <t>3:13:17</t>
  </si>
  <si>
    <t>3:13:20</t>
  </si>
  <si>
    <t>킹오브걸레...ㄷㄷ</t>
  </si>
  <si>
    <t>3:16:31</t>
  </si>
  <si>
    <t>노래 ㅈ같이부른애 마이너스 온마</t>
  </si>
  <si>
    <t>3:16:37</t>
  </si>
  <si>
    <t>체온이는 옶나여??</t>
  </si>
  <si>
    <t>3:16:59</t>
  </si>
  <si>
    <t>휴직중입니다 온마</t>
  </si>
  <si>
    <t>3:17:23</t>
  </si>
  <si>
    <t>3:19:26</t>
  </si>
  <si>
    <t>3:20:01</t>
  </si>
  <si>
    <t>온플 아니 은플 ㅋㅋㅋ</t>
  </si>
  <si>
    <t>3:20:34</t>
  </si>
  <si>
    <t>집에 안가써? ㅋㅋㅋ</t>
  </si>
  <si>
    <t>3:22:34</t>
  </si>
  <si>
    <t>대표님 근데 더블링할때마다 뒤에서 막걸리 잡수시는거 아니죠?</t>
  </si>
  <si>
    <t>3:23:18</t>
  </si>
  <si>
    <t>내 기분이 안좋으니깐 온마</t>
  </si>
  <si>
    <t>3:23:29</t>
  </si>
  <si>
    <t>그냥 온마</t>
  </si>
  <si>
    <t>3:24:21</t>
  </si>
  <si>
    <t>여왕이라서 온마</t>
  </si>
  <si>
    <t>3:24:33</t>
  </si>
  <si>
    <t>진지한표정해서 온마</t>
  </si>
  <si>
    <t>3:25:15</t>
  </si>
  <si>
    <t>여유로운표정이 싫다 온마</t>
  </si>
  <si>
    <t>3:25:16</t>
  </si>
  <si>
    <t>뾱 온마</t>
  </si>
  <si>
    <t>3:25:27</t>
  </si>
  <si>
    <t>3:25:31</t>
  </si>
  <si>
    <t>흐르미야? 온마</t>
  </si>
  <si>
    <t>3:25:35</t>
  </si>
  <si>
    <t>3:25:37</t>
  </si>
  <si>
    <t>3:25:44</t>
  </si>
  <si>
    <t>3:26:16</t>
  </si>
  <si>
    <t>온마 그만하면 은플</t>
  </si>
  <si>
    <t>3:27:33</t>
  </si>
  <si>
    <t>형님들 다음에 또 놀아여 잼있게 놀고갑니다. 온</t>
  </si>
  <si>
    <t>3:29:22</t>
  </si>
  <si>
    <t>체온마 춤은 은버덕 춤 못추는애 꺼 보기 싫음</t>
  </si>
  <si>
    <t>3:30:04</t>
  </si>
  <si>
    <t>은채 사랑해</t>
  </si>
  <si>
    <t>3:40:21</t>
  </si>
  <si>
    <t>3:42:36</t>
  </si>
  <si>
    <t>탓</t>
  </si>
  <si>
    <t>3:43:04</t>
  </si>
  <si>
    <t>간다 ㅋㅋㅋㅋㅋ</t>
  </si>
  <si>
    <t>3:47:08</t>
  </si>
  <si>
    <t>잘놀다갑니다 형님들!!</t>
  </si>
  <si>
    <t>3:50:27</t>
  </si>
  <si>
    <t>3:50:44</t>
  </si>
  <si>
    <t>3:50:47</t>
  </si>
  <si>
    <t>ㅌㅂㅇ</t>
  </si>
  <si>
    <t>3:54:35</t>
  </si>
  <si>
    <t>은채야 있어..?</t>
  </si>
  <si>
    <t>3:58:53</t>
  </si>
  <si>
    <t>지우-</t>
  </si>
  <si>
    <t>wldn4422</t>
  </si>
  <si>
    <t>뉴 온플단 등장</t>
  </si>
  <si>
    <t>4:00:37</t>
  </si>
  <si>
    <t>개돼지면 어때 크롬하츠 입는 개돼지 만들어드릴께</t>
  </si>
  <si>
    <t>4:00:58</t>
  </si>
  <si>
    <t>4:06:04</t>
  </si>
  <si>
    <t>4:06:09</t>
  </si>
  <si>
    <t>4:09:40</t>
  </si>
  <si>
    <t>귀염둥이파덕</t>
  </si>
  <si>
    <t>tpgns4565</t>
  </si>
  <si>
    <t>4:12:41</t>
  </si>
  <si>
    <t>방송 왜 안해여?</t>
  </si>
  <si>
    <t>4:16:06</t>
  </si>
  <si>
    <t>핑크플</t>
  </si>
  <si>
    <t>4:17:46</t>
  </si>
  <si>
    <t>온광고</t>
  </si>
  <si>
    <t>4:19:25</t>
  </si>
  <si>
    <t>룰루놀롤</t>
  </si>
  <si>
    <t>sting0912</t>
  </si>
  <si>
    <t>은채?</t>
  </si>
  <si>
    <t>4:23:53</t>
  </si>
  <si>
    <t>ㅇㅊ</t>
  </si>
  <si>
    <t>4:26:36</t>
  </si>
  <si>
    <t>ㅜㅜ</t>
  </si>
  <si>
    <t>4:29:32</t>
  </si>
  <si>
    <t>4:32:39</t>
  </si>
  <si>
    <t>4:36:04</t>
  </si>
  <si>
    <t>4:38:09</t>
  </si>
  <si>
    <t>부체온</t>
  </si>
  <si>
    <t>akxh007</t>
  </si>
  <si>
    <t>아주머니 아니에요</t>
  </si>
  <si>
    <t>4:39:17</t>
  </si>
  <si>
    <t>은채눈나</t>
  </si>
  <si>
    <t>4:42:46</t>
  </si>
  <si>
    <t>망냉이ㅜㅜ</t>
  </si>
  <si>
    <t>4:45:39</t>
  </si>
  <si>
    <t>ΘωΘ;;쿠궁</t>
  </si>
  <si>
    <t>wnahd0918</t>
  </si>
  <si>
    <t>4:46:44</t>
  </si>
  <si>
    <t>4:47:23</t>
  </si>
  <si>
    <t>4:49:14</t>
  </si>
  <si>
    <t>4:49:58</t>
  </si>
  <si>
    <t>4:50:35</t>
  </si>
  <si>
    <t>아주머니</t>
  </si>
  <si>
    <t>4:51:56</t>
  </si>
  <si>
    <t>4:53:46</t>
  </si>
  <si>
    <t>4:56:28</t>
  </si>
  <si>
    <t>4:58:38</t>
  </si>
  <si>
    <t>5:02:36</t>
  </si>
  <si>
    <t>5:02:41</t>
  </si>
  <si>
    <t>룰ㅡㅡㅡㅡㅡㅡㅡㅡㅡ멘</t>
  </si>
  <si>
    <t>5:07:48</t>
  </si>
  <si>
    <t>5:08:36</t>
  </si>
  <si>
    <t>호다닥</t>
  </si>
  <si>
    <t>총합</t>
  </si>
  <si>
    <t>ID</t>
  </si>
  <si>
    <t>후원목록  |  후원자별 총 후원 개수</t>
  </si>
  <si>
    <t>순위</t>
  </si>
  <si>
    <t>총 후원 개수</t>
  </si>
  <si>
    <t>후원 건수</t>
  </si>
  <si>
    <t>합계</t>
  </si>
  <si>
    <t>28명</t>
  </si>
  <si>
    <t>17명</t>
  </si>
  <si>
    <t>20명</t>
  </si>
  <si>
    <t>온마  |  후원자별 총 후원 개수</t>
  </si>
  <si>
    <t>8명</t>
  </si>
  <si>
    <t>은마  |  후원자별 총 후원 개수</t>
  </si>
  <si>
    <t>3명</t>
  </si>
  <si>
    <t>온플단  |  후원자별 총 후원 개수</t>
    <phoneticPr fontId="2" type="noConversion"/>
  </si>
  <si>
    <t>은플단  |  후원자별 총 후원 개수</t>
    <phoneticPr fontId="2" type="noConversion"/>
  </si>
  <si>
    <t>공통공약</t>
    <phoneticPr fontId="2" type="noConversion"/>
  </si>
  <si>
    <t>X</t>
    <phoneticPr fontId="2" type="noConversion"/>
  </si>
  <si>
    <t>온플단공약</t>
    <phoneticPr fontId="2" type="noConversion"/>
  </si>
  <si>
    <t>식데</t>
    <phoneticPr fontId="2" type="noConversion"/>
  </si>
  <si>
    <t>고화질 움짤방셀 8장 + 냠냠권(알잘딱)</t>
    <phoneticPr fontId="2" type="noConversion"/>
  </si>
  <si>
    <t>은플단 공약</t>
    <phoneticPr fontId="2" type="noConversion"/>
  </si>
  <si>
    <t>고화질 움짤방셀 8장</t>
  </si>
  <si>
    <t>움짤방셀 4장</t>
    <phoneticPr fontId="2" type="noConversion"/>
  </si>
  <si>
    <t>공통 고화질 움짤방셀 1장</t>
    <phoneticPr fontId="2" type="noConversion"/>
  </si>
  <si>
    <t>소음단 핀볼 치킨 6코</t>
    <phoneticPr fontId="2" type="noConversion"/>
  </si>
  <si>
    <t>소음단 핀볼 치킨 5코</t>
    <phoneticPr fontId="2" type="noConversion"/>
  </si>
  <si>
    <t>소음단 핀볼 치킨 1코</t>
    <phoneticPr fontId="2" type="noConversion"/>
  </si>
  <si>
    <t>공통쪽셀</t>
    <phoneticPr fontId="2" type="noConversion"/>
  </si>
  <si>
    <t>x</t>
    <phoneticPr fontId="2" type="noConversion"/>
  </si>
  <si>
    <t>자매 영상 방셀(완료)</t>
    <phoneticPr fontId="2" type="noConversion"/>
  </si>
  <si>
    <t>인생네컷 + 움짤 4장 방셀 + (알잘딱)</t>
    <phoneticPr fontId="2" type="noConversion"/>
  </si>
  <si>
    <t>소음단 핀볼 치킨 7코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</si>
</sst>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1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0"/>
      <color rgb="FF111827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4"/>
      <color rgb="FFFFFFFF"/>
      <name val="여기어때 잘난체 2 TTF"/>
      <family val="3"/>
      <charset val="129"/>
    </font>
    <font>
      <sz val="14"/>
      <color rgb="FF202D3D"/>
      <name val="여기어때 잘난체 2 TTF"/>
      <family val="3"/>
      <charset val="129"/>
    </font>
    <font>
      <b/>
      <sz val="14"/>
      <color rgb="FF17324D"/>
      <name val="여기어때 잘난체 2 TTF"/>
      <family val="3"/>
      <charset val="129"/>
    </font>
    <font>
      <b/>
      <sz val="12"/>
      <color rgb="FFFFFFFF"/>
      <name val="여기어때 잘난체 2 TTF"/>
      <family val="3"/>
      <charset val="129"/>
    </font>
    <font>
      <sz val="12"/>
      <color rgb="FF202D3D"/>
      <name val="여기어때 잘난체 2 TTF"/>
      <family val="3"/>
      <charset val="129"/>
    </font>
    <font>
      <sz val="12"/>
      <name val="여기어때 잘난체 2 TTF"/>
      <family val="3"/>
      <charset val="129"/>
    </font>
    <font>
      <sz val="14"/>
      <name val="여기어때 잘난체 2 TTF"/>
      <family val="3"/>
      <charset val="129"/>
    </font>
    <font>
      <b/>
      <sz val="12"/>
      <color rgb="FF863178"/>
      <name val="여기어때 잘난체 2 TTF"/>
      <family val="3"/>
      <charset val="129"/>
    </font>
    <font>
      <b/>
      <sz val="12"/>
      <color rgb="FFB52A2A"/>
      <name val="여기어때 잘난체 2 TTF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0"/>
      <name val="여기어때 잘난체 2 TTF"/>
      <family val="3"/>
      <charset val="129"/>
    </font>
    <font>
      <sz val="12"/>
      <color theme="0"/>
      <name val="여기어때 잘난체 2 TTF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DCE6F1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A02B93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5F7FA"/>
      </patternFill>
    </fill>
    <fill>
      <patternFill patternType="solid">
        <fgColor rgb="FF863178"/>
      </patternFill>
    </fill>
    <fill>
      <patternFill patternType="solid">
        <fgColor rgb="FFF8E8F5"/>
      </patternFill>
    </fill>
    <fill>
      <patternFill patternType="solid">
        <fgColor rgb="FFB52A2A"/>
      </patternFill>
    </fill>
    <fill>
      <patternFill patternType="solid">
        <fgColor rgb="FFFFEAEA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hair">
        <color rgb="FFD9E0E6"/>
      </right>
      <top style="hair">
        <color rgb="FFD9E0E6"/>
      </top>
      <bottom style="hair">
        <color rgb="FFD9E0E6"/>
      </bottom>
      <diagonal/>
    </border>
    <border>
      <left/>
      <right/>
      <top style="hair">
        <color rgb="FFD9E0E6"/>
      </top>
      <bottom style="hair">
        <color rgb="FFD9E0E6"/>
      </bottom>
      <diagonal/>
    </border>
    <border>
      <left style="hair">
        <color rgb="FFD9E0E6"/>
      </left>
      <right/>
      <top style="hair">
        <color rgb="FFD9E0E6"/>
      </top>
      <bottom style="hair">
        <color rgb="FFD9E0E6"/>
      </bottom>
      <diagonal/>
    </border>
    <border>
      <left/>
      <right style="hair">
        <color rgb="FFD9E0E6"/>
      </right>
      <top/>
      <bottom/>
      <diagonal/>
    </border>
    <border>
      <left style="hair">
        <color rgb="FFD9E0E6"/>
      </left>
      <right/>
      <top/>
      <bottom/>
      <diagonal/>
    </border>
    <border>
      <left style="hair">
        <color rgb="FFD9E0E6"/>
      </left>
      <right/>
      <top style="hair">
        <color rgb="FFD9E0E6"/>
      </top>
      <bottom/>
      <diagonal/>
    </border>
    <border>
      <left/>
      <right/>
      <top style="hair">
        <color rgb="FFD9E0E6"/>
      </top>
      <bottom/>
      <diagonal/>
    </border>
    <border>
      <left/>
      <right style="hair">
        <color rgb="FFD9E0E6"/>
      </right>
      <top style="hair">
        <color rgb="FFD9E0E6"/>
      </top>
      <bottom/>
      <diagonal/>
    </border>
    <border>
      <left style="hair">
        <color rgb="FFD9E0E6"/>
      </left>
      <right/>
      <top/>
      <bottom style="hair">
        <color rgb="FFD9E0E6"/>
      </bottom>
      <diagonal/>
    </border>
    <border>
      <left/>
      <right/>
      <top/>
      <bottom style="hair">
        <color rgb="FFD9E0E6"/>
      </bottom>
      <diagonal/>
    </border>
    <border>
      <left/>
      <right style="hair">
        <color rgb="FFD9E0E6"/>
      </right>
      <top/>
      <bottom style="hair">
        <color rgb="FFD9E0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3" fontId="4" fillId="3" borderId="2" xfId="1" applyNumberFormat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0" fillId="4" borderId="0" xfId="0" applyFill="1"/>
    <xf numFmtId="0" fontId="5" fillId="4" borderId="4" xfId="1" applyFont="1" applyFill="1" applyBorder="1" applyAlignment="1">
      <alignment vertical="center" wrapText="1"/>
    </xf>
    <xf numFmtId="3" fontId="5" fillId="4" borderId="0" xfId="1" applyNumberFormat="1" applyFont="1" applyFill="1" applyAlignment="1">
      <alignment vertical="center"/>
    </xf>
    <xf numFmtId="0" fontId="5" fillId="4" borderId="0" xfId="1" applyFont="1" applyFill="1" applyAlignment="1">
      <alignment vertical="center"/>
    </xf>
    <xf numFmtId="176" fontId="5" fillId="4" borderId="0" xfId="1" applyNumberFormat="1" applyFont="1" applyFill="1" applyAlignment="1">
      <alignment vertical="center"/>
    </xf>
    <xf numFmtId="0" fontId="5" fillId="4" borderId="5" xfId="1" applyFont="1" applyFill="1" applyBorder="1" applyAlignment="1">
      <alignment vertical="center"/>
    </xf>
    <xf numFmtId="0" fontId="0" fillId="5" borderId="0" xfId="0" applyFill="1"/>
    <xf numFmtId="0" fontId="5" fillId="5" borderId="4" xfId="1" applyFont="1" applyFill="1" applyBorder="1" applyAlignment="1">
      <alignment vertical="center" wrapText="1"/>
    </xf>
    <xf numFmtId="3" fontId="5" fillId="5" borderId="0" xfId="1" applyNumberFormat="1" applyFont="1" applyFill="1" applyAlignment="1">
      <alignment vertical="center"/>
    </xf>
    <xf numFmtId="0" fontId="5" fillId="5" borderId="0" xfId="1" applyFont="1" applyFill="1" applyAlignment="1">
      <alignment vertical="center"/>
    </xf>
    <xf numFmtId="176" fontId="5" fillId="5" borderId="0" xfId="1" applyNumberFormat="1" applyFont="1" applyFill="1" applyAlignment="1">
      <alignment vertical="center"/>
    </xf>
    <xf numFmtId="0" fontId="5" fillId="5" borderId="5" xfId="1" applyFont="1" applyFill="1" applyBorder="1" applyAlignment="1">
      <alignment vertical="center"/>
    </xf>
    <xf numFmtId="3" fontId="4" fillId="4" borderId="0" xfId="1" applyNumberFormat="1" applyFont="1" applyFill="1" applyAlignment="1">
      <alignment horizontal="right" vertical="center"/>
    </xf>
    <xf numFmtId="0" fontId="0" fillId="6" borderId="0" xfId="0" applyFill="1"/>
    <xf numFmtId="0" fontId="5" fillId="6" borderId="4" xfId="1" applyFont="1" applyFill="1" applyBorder="1" applyAlignment="1">
      <alignment vertical="center" wrapText="1"/>
    </xf>
    <xf numFmtId="3" fontId="5" fillId="6" borderId="0" xfId="1" applyNumberFormat="1" applyFont="1" applyFill="1" applyAlignment="1">
      <alignment vertical="center"/>
    </xf>
    <xf numFmtId="0" fontId="5" fillId="6" borderId="0" xfId="1" applyFont="1" applyFill="1" applyAlignment="1">
      <alignment vertical="center"/>
    </xf>
    <xf numFmtId="176" fontId="5" fillId="6" borderId="0" xfId="1" applyNumberFormat="1" applyFont="1" applyFill="1" applyAlignment="1">
      <alignment vertical="center"/>
    </xf>
    <xf numFmtId="0" fontId="5" fillId="6" borderId="5" xfId="1" applyFont="1" applyFill="1" applyBorder="1" applyAlignment="1">
      <alignment vertical="center"/>
    </xf>
    <xf numFmtId="3" fontId="6" fillId="5" borderId="0" xfId="1" applyNumberFormat="1" applyFont="1" applyFill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3" fontId="3" fillId="5" borderId="0" xfId="1" applyNumberFormat="1" applyFont="1" applyFill="1" applyAlignment="1">
      <alignment vertical="center"/>
    </xf>
    <xf numFmtId="0" fontId="3" fillId="5" borderId="0" xfId="1" applyFont="1" applyFill="1" applyAlignment="1">
      <alignment vertical="center"/>
    </xf>
    <xf numFmtId="3" fontId="3" fillId="4" borderId="0" xfId="1" applyNumberFormat="1" applyFont="1" applyFill="1" applyAlignment="1">
      <alignment vertical="center"/>
    </xf>
    <xf numFmtId="0" fontId="3" fillId="4" borderId="0" xfId="1" applyFont="1" applyFill="1" applyAlignment="1">
      <alignment vertical="center"/>
    </xf>
    <xf numFmtId="3" fontId="7" fillId="5" borderId="0" xfId="1" applyNumberFormat="1" applyFont="1" applyFill="1" applyAlignment="1">
      <alignment horizontal="right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5" fillId="8" borderId="5" xfId="1" applyFont="1" applyFill="1" applyBorder="1" applyAlignment="1">
      <alignment vertical="center"/>
    </xf>
    <xf numFmtId="176" fontId="5" fillId="8" borderId="0" xfId="1" applyNumberFormat="1" applyFont="1" applyFill="1" applyAlignment="1">
      <alignment vertical="center"/>
    </xf>
    <xf numFmtId="0" fontId="5" fillId="8" borderId="0" xfId="1" applyFont="1" applyFill="1" applyAlignment="1">
      <alignment vertical="center"/>
    </xf>
    <xf numFmtId="3" fontId="5" fillId="8" borderId="0" xfId="1" applyNumberFormat="1" applyFont="1" applyFill="1" applyAlignment="1">
      <alignment vertical="center"/>
    </xf>
    <xf numFmtId="0" fontId="5" fillId="8" borderId="4" xfId="1" applyFont="1" applyFill="1" applyBorder="1" applyAlignment="1">
      <alignment vertical="center" wrapText="1"/>
    </xf>
    <xf numFmtId="0" fontId="0" fillId="8" borderId="0" xfId="0" applyFill="1"/>
    <xf numFmtId="0" fontId="3" fillId="9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0" fontId="5" fillId="10" borderId="0" xfId="0" applyFont="1" applyFill="1" applyAlignment="1">
      <alignment vertical="center"/>
    </xf>
    <xf numFmtId="0" fontId="5" fillId="10" borderId="9" xfId="0" applyFont="1" applyFill="1" applyBorder="1" applyAlignment="1">
      <alignment vertical="center"/>
    </xf>
    <xf numFmtId="0" fontId="5" fillId="10" borderId="10" xfId="0" applyFont="1" applyFill="1" applyBorder="1" applyAlignment="1">
      <alignment vertical="center"/>
    </xf>
    <xf numFmtId="176" fontId="5" fillId="10" borderId="7" xfId="0" applyNumberFormat="1" applyFont="1" applyFill="1" applyBorder="1" applyAlignment="1">
      <alignment vertical="center"/>
    </xf>
    <xf numFmtId="176" fontId="5" fillId="10" borderId="0" xfId="0" applyNumberFormat="1" applyFont="1" applyFill="1" applyAlignment="1">
      <alignment vertical="center"/>
    </xf>
    <xf numFmtId="176" fontId="5" fillId="10" borderId="10" xfId="0" applyNumberFormat="1" applyFont="1" applyFill="1" applyBorder="1" applyAlignment="1">
      <alignment vertical="center"/>
    </xf>
    <xf numFmtId="3" fontId="5" fillId="10" borderId="7" xfId="0" applyNumberFormat="1" applyFont="1" applyFill="1" applyBorder="1" applyAlignment="1">
      <alignment vertical="center"/>
    </xf>
    <xf numFmtId="3" fontId="5" fillId="10" borderId="0" xfId="0" applyNumberFormat="1" applyFont="1" applyFill="1" applyAlignment="1">
      <alignment vertical="center"/>
    </xf>
    <xf numFmtId="3" fontId="5" fillId="10" borderId="10" xfId="0" applyNumberFormat="1" applyFont="1" applyFill="1" applyBorder="1" applyAlignment="1">
      <alignment vertical="center"/>
    </xf>
    <xf numFmtId="0" fontId="5" fillId="10" borderId="8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5" fillId="10" borderId="11" xfId="0" applyFont="1" applyFill="1" applyBorder="1" applyAlignment="1">
      <alignment vertical="center" wrapText="1"/>
    </xf>
    <xf numFmtId="0" fontId="3" fillId="11" borderId="3" xfId="0" applyFont="1" applyFill="1" applyBorder="1"/>
    <xf numFmtId="0" fontId="3" fillId="11" borderId="2" xfId="0" applyFont="1" applyFill="1" applyBorder="1"/>
    <xf numFmtId="3" fontId="3" fillId="11" borderId="2" xfId="0" applyNumberFormat="1" applyFont="1" applyFill="1" applyBorder="1"/>
    <xf numFmtId="0" fontId="3" fillId="11" borderId="1" xfId="0" applyFont="1" applyFill="1" applyBorder="1"/>
    <xf numFmtId="0" fontId="5" fillId="12" borderId="6" xfId="0" applyFont="1" applyFill="1" applyBorder="1" applyAlignment="1">
      <alignment vertical="center"/>
    </xf>
    <xf numFmtId="0" fontId="5" fillId="12" borderId="7" xfId="0" applyFont="1" applyFill="1" applyBorder="1" applyAlignment="1">
      <alignment vertical="center"/>
    </xf>
    <xf numFmtId="0" fontId="5" fillId="12" borderId="5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5" fillId="12" borderId="9" xfId="0" applyFont="1" applyFill="1" applyBorder="1" applyAlignment="1">
      <alignment vertical="center"/>
    </xf>
    <xf numFmtId="0" fontId="5" fillId="12" borderId="10" xfId="0" applyFont="1" applyFill="1" applyBorder="1" applyAlignment="1">
      <alignment vertical="center"/>
    </xf>
    <xf numFmtId="176" fontId="5" fillId="12" borderId="7" xfId="0" applyNumberFormat="1" applyFont="1" applyFill="1" applyBorder="1" applyAlignment="1">
      <alignment vertical="center"/>
    </xf>
    <xf numFmtId="176" fontId="5" fillId="12" borderId="0" xfId="0" applyNumberFormat="1" applyFont="1" applyFill="1" applyAlignment="1">
      <alignment vertical="center"/>
    </xf>
    <xf numFmtId="176" fontId="5" fillId="12" borderId="10" xfId="0" applyNumberFormat="1" applyFont="1" applyFill="1" applyBorder="1" applyAlignment="1">
      <alignment vertical="center"/>
    </xf>
    <xf numFmtId="3" fontId="5" fillId="12" borderId="7" xfId="0" applyNumberFormat="1" applyFont="1" applyFill="1" applyBorder="1" applyAlignment="1">
      <alignment vertical="center"/>
    </xf>
    <xf numFmtId="3" fontId="5" fillId="12" borderId="0" xfId="0" applyNumberFormat="1" applyFont="1" applyFill="1" applyAlignment="1">
      <alignment vertical="center"/>
    </xf>
    <xf numFmtId="3" fontId="5" fillId="12" borderId="10" xfId="0" applyNumberFormat="1" applyFont="1" applyFill="1" applyBorder="1" applyAlignment="1">
      <alignment vertical="center"/>
    </xf>
    <xf numFmtId="0" fontId="5" fillId="12" borderId="8" xfId="0" applyFont="1" applyFill="1" applyBorder="1" applyAlignment="1">
      <alignment vertical="center" wrapText="1"/>
    </xf>
    <xf numFmtId="0" fontId="5" fillId="12" borderId="4" xfId="0" applyFont="1" applyFill="1" applyBorder="1" applyAlignment="1">
      <alignment vertical="center" wrapText="1"/>
    </xf>
    <xf numFmtId="0" fontId="5" fillId="12" borderId="11" xfId="0" applyFont="1" applyFill="1" applyBorder="1" applyAlignment="1">
      <alignment vertical="center" wrapText="1"/>
    </xf>
    <xf numFmtId="0" fontId="8" fillId="13" borderId="6" xfId="0" applyFont="1" applyFill="1" applyBorder="1" applyAlignment="1">
      <alignment vertical="center"/>
    </xf>
    <xf numFmtId="0" fontId="8" fillId="13" borderId="7" xfId="0" applyFont="1" applyFill="1" applyBorder="1" applyAlignment="1">
      <alignment vertical="center"/>
    </xf>
    <xf numFmtId="0" fontId="8" fillId="13" borderId="5" xfId="0" applyFont="1" applyFill="1" applyBorder="1" applyAlignment="1">
      <alignment vertical="center"/>
    </xf>
    <xf numFmtId="0" fontId="8" fillId="13" borderId="0" xfId="0" applyFont="1" applyFill="1" applyAlignment="1">
      <alignment vertical="center"/>
    </xf>
    <xf numFmtId="0" fontId="8" fillId="13" borderId="9" xfId="0" applyFont="1" applyFill="1" applyBorder="1" applyAlignment="1">
      <alignment vertical="center"/>
    </xf>
    <xf numFmtId="0" fontId="8" fillId="13" borderId="10" xfId="0" applyFont="1" applyFill="1" applyBorder="1" applyAlignment="1">
      <alignment vertical="center"/>
    </xf>
    <xf numFmtId="176" fontId="8" fillId="13" borderId="7" xfId="0" applyNumberFormat="1" applyFont="1" applyFill="1" applyBorder="1" applyAlignment="1">
      <alignment vertical="center"/>
    </xf>
    <xf numFmtId="176" fontId="8" fillId="13" borderId="0" xfId="0" applyNumberFormat="1" applyFont="1" applyFill="1" applyAlignment="1">
      <alignment vertical="center"/>
    </xf>
    <xf numFmtId="176" fontId="8" fillId="13" borderId="10" xfId="0" applyNumberFormat="1" applyFont="1" applyFill="1" applyBorder="1" applyAlignment="1">
      <alignment vertical="center"/>
    </xf>
    <xf numFmtId="3" fontId="8" fillId="13" borderId="7" xfId="0" applyNumberFormat="1" applyFont="1" applyFill="1" applyBorder="1" applyAlignment="1">
      <alignment vertical="center"/>
    </xf>
    <xf numFmtId="3" fontId="8" fillId="13" borderId="0" xfId="0" applyNumberFormat="1" applyFont="1" applyFill="1" applyAlignment="1">
      <alignment vertical="center"/>
    </xf>
    <xf numFmtId="3" fontId="8" fillId="13" borderId="10" xfId="0" applyNumberFormat="1" applyFont="1" applyFill="1" applyBorder="1" applyAlignment="1">
      <alignment vertical="center"/>
    </xf>
    <xf numFmtId="0" fontId="8" fillId="13" borderId="8" xfId="0" applyFont="1" applyFill="1" applyBorder="1" applyAlignment="1">
      <alignment vertical="center" wrapText="1"/>
    </xf>
    <xf numFmtId="0" fontId="8" fillId="13" borderId="4" xfId="0" applyFont="1" applyFill="1" applyBorder="1" applyAlignment="1">
      <alignment vertical="center" wrapText="1"/>
    </xf>
    <xf numFmtId="0" fontId="8" fillId="13" borderId="11" xfId="0" applyFont="1" applyFill="1" applyBorder="1" applyAlignment="1">
      <alignment vertical="center" wrapText="1"/>
    </xf>
    <xf numFmtId="0" fontId="8" fillId="14" borderId="6" xfId="0" applyFont="1" applyFill="1" applyBorder="1" applyAlignment="1">
      <alignment vertical="center"/>
    </xf>
    <xf numFmtId="0" fontId="8" fillId="14" borderId="7" xfId="0" applyFont="1" applyFill="1" applyBorder="1" applyAlignment="1">
      <alignment vertical="center"/>
    </xf>
    <xf numFmtId="0" fontId="8" fillId="14" borderId="5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8" fillId="14" borderId="9" xfId="0" applyFont="1" applyFill="1" applyBorder="1" applyAlignment="1">
      <alignment vertical="center"/>
    </xf>
    <xf numFmtId="0" fontId="8" fillId="14" borderId="10" xfId="0" applyFont="1" applyFill="1" applyBorder="1" applyAlignment="1">
      <alignment vertical="center"/>
    </xf>
    <xf numFmtId="176" fontId="8" fillId="14" borderId="7" xfId="0" applyNumberFormat="1" applyFont="1" applyFill="1" applyBorder="1" applyAlignment="1">
      <alignment vertical="center"/>
    </xf>
    <xf numFmtId="176" fontId="8" fillId="14" borderId="0" xfId="0" applyNumberFormat="1" applyFont="1" applyFill="1" applyAlignment="1">
      <alignment vertical="center"/>
    </xf>
    <xf numFmtId="176" fontId="8" fillId="14" borderId="10" xfId="0" applyNumberFormat="1" applyFont="1" applyFill="1" applyBorder="1" applyAlignment="1">
      <alignment vertical="center"/>
    </xf>
    <xf numFmtId="3" fontId="8" fillId="14" borderId="7" xfId="0" applyNumberFormat="1" applyFont="1" applyFill="1" applyBorder="1" applyAlignment="1">
      <alignment vertical="center"/>
    </xf>
    <xf numFmtId="3" fontId="8" fillId="14" borderId="0" xfId="0" applyNumberFormat="1" applyFont="1" applyFill="1" applyAlignment="1">
      <alignment vertical="center"/>
    </xf>
    <xf numFmtId="3" fontId="8" fillId="14" borderId="10" xfId="0" applyNumberFormat="1" applyFont="1" applyFill="1" applyBorder="1" applyAlignment="1">
      <alignment vertical="center"/>
    </xf>
    <xf numFmtId="0" fontId="8" fillId="14" borderId="8" xfId="0" applyFont="1" applyFill="1" applyBorder="1" applyAlignment="1">
      <alignment vertical="center" wrapText="1"/>
    </xf>
    <xf numFmtId="0" fontId="8" fillId="14" borderId="4" xfId="0" applyFont="1" applyFill="1" applyBorder="1" applyAlignment="1">
      <alignment vertical="center" wrapText="1"/>
    </xf>
    <xf numFmtId="0" fontId="8" fillId="14" borderId="11" xfId="0" applyFont="1" applyFill="1" applyBorder="1" applyAlignment="1">
      <alignment vertical="center" wrapText="1"/>
    </xf>
    <xf numFmtId="0" fontId="9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/>
    </xf>
    <xf numFmtId="3" fontId="10" fillId="17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1" fillId="16" borderId="0" xfId="0" applyFont="1" applyFill="1" applyAlignment="1">
      <alignment horizontal="center"/>
    </xf>
    <xf numFmtId="3" fontId="11" fillId="16" borderId="0" xfId="0" applyNumberFormat="1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3" fontId="13" fillId="1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18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/>
    </xf>
    <xf numFmtId="3" fontId="16" fillId="19" borderId="0" xfId="0" applyNumberFormat="1" applyFont="1" applyFill="1" applyAlignment="1">
      <alignment horizontal="center"/>
    </xf>
    <xf numFmtId="0" fontId="1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7" fillId="21" borderId="0" xfId="0" applyFont="1" applyFill="1" applyAlignment="1">
      <alignment horizontal="center"/>
    </xf>
    <xf numFmtId="3" fontId="17" fillId="21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3" fontId="18" fillId="22" borderId="0" xfId="0" applyNumberFormat="1" applyFont="1" applyFill="1" applyAlignment="1">
      <alignment vertical="center"/>
    </xf>
    <xf numFmtId="3" fontId="5" fillId="22" borderId="0" xfId="0" applyNumberFormat="1" applyFont="1" applyFill="1" applyAlignment="1">
      <alignment vertical="center"/>
    </xf>
    <xf numFmtId="3" fontId="5" fillId="23" borderId="0" xfId="0" applyNumberFormat="1" applyFont="1" applyFill="1" applyAlignment="1">
      <alignment vertical="center"/>
    </xf>
    <xf numFmtId="0" fontId="5" fillId="22" borderId="0" xfId="0" applyFont="1" applyFill="1" applyAlignment="1">
      <alignment vertical="center"/>
    </xf>
    <xf numFmtId="0" fontId="13" fillId="17" borderId="12" xfId="0" applyFont="1" applyFill="1" applyBorder="1" applyAlignment="1">
      <alignment horizontal="center"/>
    </xf>
    <xf numFmtId="3" fontId="13" fillId="17" borderId="12" xfId="0" applyNumberFormat="1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22" borderId="12" xfId="0" applyFont="1" applyFill="1" applyBorder="1" applyAlignment="1">
      <alignment horizontal="center"/>
    </xf>
    <xf numFmtId="0" fontId="13" fillId="24" borderId="12" xfId="0" applyFont="1" applyFill="1" applyBorder="1" applyAlignment="1">
      <alignment horizontal="center"/>
    </xf>
    <xf numFmtId="0" fontId="13" fillId="23" borderId="12" xfId="0" applyFont="1" applyFill="1" applyBorder="1" applyAlignment="1">
      <alignment horizontal="center"/>
    </xf>
    <xf numFmtId="0" fontId="12" fillId="25" borderId="12" xfId="0" applyFont="1" applyFill="1" applyBorder="1" applyAlignment="1">
      <alignment horizontal="center" vertical="center"/>
    </xf>
    <xf numFmtId="0" fontId="12" fillId="25" borderId="12" xfId="0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center"/>
    </xf>
    <xf numFmtId="3" fontId="19" fillId="25" borderId="12" xfId="0" applyNumberFormat="1" applyFont="1" applyFill="1" applyBorder="1" applyAlignment="1">
      <alignment horizontal="center"/>
    </xf>
    <xf numFmtId="0" fontId="20" fillId="25" borderId="12" xfId="0" applyFont="1" applyFill="1" applyBorder="1" applyAlignment="1">
      <alignment horizontal="center"/>
    </xf>
    <xf numFmtId="0" fontId="12" fillId="26" borderId="12" xfId="0" applyFont="1" applyFill="1" applyBorder="1" applyAlignment="1">
      <alignment horizontal="center" vertical="center"/>
    </xf>
    <xf numFmtId="0" fontId="12" fillId="26" borderId="12" xfId="0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center"/>
    </xf>
    <xf numFmtId="3" fontId="19" fillId="26" borderId="12" xfId="0" applyNumberFormat="1" applyFont="1" applyFill="1" applyBorder="1" applyAlignment="1">
      <alignment horizontal="center"/>
    </xf>
    <xf numFmtId="0" fontId="20" fillId="26" borderId="12" xfId="0" applyFont="1" applyFill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workbookViewId="0"/>
  </sheetViews>
  <sheetFormatPr defaultRowHeight="13.8"/>
  <cols>
    <col min="1" max="1" width="8" customWidth="1"/>
    <col min="2" max="2" width="20" customWidth="1"/>
    <col min="3" max="3" width="13" customWidth="1"/>
    <col min="4" max="4" width="20" customWidth="1"/>
    <col min="5" max="5" width="17" customWidth="1"/>
    <col min="6" max="6" width="12" customWidth="1"/>
    <col min="7" max="7" width="18" customWidth="1"/>
    <col min="8" max="8" width="13" customWidth="1"/>
    <col min="9" max="10" width="11" customWidth="1"/>
    <col min="11" max="11" width="55" customWidth="1"/>
  </cols>
  <sheetData>
    <row r="1" spans="1:11" ht="13.35" customHeight="1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2" t="s">
        <v>10</v>
      </c>
    </row>
    <row r="2" spans="1:11" s="6" customFormat="1" ht="10.199999999999999" customHeight="1">
      <c r="A2" s="11">
        <v>1</v>
      </c>
      <c r="B2" s="10">
        <v>46283.851388888892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8">
        <v>10</v>
      </c>
      <c r="J2" s="8"/>
      <c r="K2" s="7" t="s">
        <v>17</v>
      </c>
    </row>
    <row r="3" spans="1:11" s="12" customFormat="1" ht="10.199999999999999" customHeight="1">
      <c r="A3" s="17">
        <v>2</v>
      </c>
      <c r="B3" s="16">
        <v>46283.853356481479</v>
      </c>
      <c r="C3" s="15" t="s">
        <v>18</v>
      </c>
      <c r="D3" s="15" t="s">
        <v>19</v>
      </c>
      <c r="E3" s="15" t="s">
        <v>20</v>
      </c>
      <c r="F3" s="15" t="s">
        <v>14</v>
      </c>
      <c r="G3" s="15" t="s">
        <v>15</v>
      </c>
      <c r="H3" s="15" t="s">
        <v>16</v>
      </c>
      <c r="I3" s="14">
        <v>100</v>
      </c>
      <c r="J3" s="14"/>
      <c r="K3" s="13" t="s">
        <v>21</v>
      </c>
    </row>
    <row r="4" spans="1:11" s="40" customFormat="1" ht="10.199999999999999" customHeight="1">
      <c r="A4" s="35">
        <v>3</v>
      </c>
      <c r="B4" s="36">
        <v>46283.854363425926</v>
      </c>
      <c r="C4" s="37" t="s">
        <v>22</v>
      </c>
      <c r="D4" s="37" t="s">
        <v>12</v>
      </c>
      <c r="E4" s="37" t="s">
        <v>13</v>
      </c>
      <c r="F4" s="37" t="s">
        <v>14</v>
      </c>
      <c r="G4" s="37" t="s">
        <v>15</v>
      </c>
      <c r="H4" s="37" t="s">
        <v>16</v>
      </c>
      <c r="I4" s="38">
        <v>10</v>
      </c>
      <c r="J4" s="38"/>
      <c r="K4" s="39" t="s">
        <v>23</v>
      </c>
    </row>
    <row r="5" spans="1:11" s="40" customFormat="1" ht="10.199999999999999" customHeight="1">
      <c r="A5" s="35">
        <v>4</v>
      </c>
      <c r="B5" s="36">
        <v>46283.854953703703</v>
      </c>
      <c r="C5" s="37" t="s">
        <v>24</v>
      </c>
      <c r="D5" s="37" t="s">
        <v>25</v>
      </c>
      <c r="E5" s="37" t="s">
        <v>26</v>
      </c>
      <c r="F5" s="37" t="s">
        <v>14</v>
      </c>
      <c r="G5" s="37" t="s">
        <v>15</v>
      </c>
      <c r="H5" s="37" t="s">
        <v>16</v>
      </c>
      <c r="I5" s="38">
        <v>100</v>
      </c>
      <c r="J5" s="38"/>
      <c r="K5" s="39" t="s">
        <v>27</v>
      </c>
    </row>
    <row r="6" spans="1:11" s="40" customFormat="1" ht="10.199999999999999" customHeight="1">
      <c r="A6" s="35">
        <v>5</v>
      </c>
      <c r="B6" s="36">
        <v>46283.855520833335</v>
      </c>
      <c r="C6" s="37" t="s">
        <v>28</v>
      </c>
      <c r="D6" s="37" t="s">
        <v>12</v>
      </c>
      <c r="E6" s="37" t="s">
        <v>13</v>
      </c>
      <c r="F6" s="37" t="s">
        <v>14</v>
      </c>
      <c r="G6" s="37" t="s">
        <v>15</v>
      </c>
      <c r="H6" s="37" t="s">
        <v>16</v>
      </c>
      <c r="I6" s="38">
        <v>10</v>
      </c>
      <c r="J6" s="38"/>
      <c r="K6" s="39" t="s">
        <v>27</v>
      </c>
    </row>
    <row r="7" spans="1:11" s="6" customFormat="1" ht="10.199999999999999" customHeight="1">
      <c r="A7" s="11">
        <v>6</v>
      </c>
      <c r="B7" s="10">
        <v>46283.855868055558</v>
      </c>
      <c r="C7" s="9" t="s">
        <v>29</v>
      </c>
      <c r="D7" s="9" t="s">
        <v>30</v>
      </c>
      <c r="E7" s="9" t="s">
        <v>31</v>
      </c>
      <c r="F7" s="9" t="s">
        <v>14</v>
      </c>
      <c r="G7" s="9" t="s">
        <v>15</v>
      </c>
      <c r="H7" s="9" t="s">
        <v>16</v>
      </c>
      <c r="I7" s="8">
        <v>152</v>
      </c>
      <c r="J7" s="8"/>
      <c r="K7" s="7" t="s">
        <v>32</v>
      </c>
    </row>
    <row r="8" spans="1:11" s="40" customFormat="1" ht="10.199999999999999" customHeight="1">
      <c r="A8" s="35">
        <v>7</v>
      </c>
      <c r="B8" s="36">
        <v>46283.855891203704</v>
      </c>
      <c r="C8" s="37" t="s">
        <v>33</v>
      </c>
      <c r="D8" s="37" t="s">
        <v>34</v>
      </c>
      <c r="E8" s="37" t="s">
        <v>35</v>
      </c>
      <c r="F8" s="37" t="s">
        <v>14</v>
      </c>
      <c r="G8" s="37" t="s">
        <v>15</v>
      </c>
      <c r="H8" s="37" t="s">
        <v>16</v>
      </c>
      <c r="I8" s="38">
        <v>10</v>
      </c>
      <c r="J8" s="38"/>
      <c r="K8" s="39" t="s">
        <v>36</v>
      </c>
    </row>
    <row r="9" spans="1:11" s="40" customFormat="1" ht="10.199999999999999" customHeight="1">
      <c r="A9" s="35">
        <v>8</v>
      </c>
      <c r="B9" s="36">
        <v>46283.856770833336</v>
      </c>
      <c r="C9" s="37" t="s">
        <v>37</v>
      </c>
      <c r="D9" s="37" t="s">
        <v>30</v>
      </c>
      <c r="E9" s="37" t="s">
        <v>31</v>
      </c>
      <c r="F9" s="37" t="s">
        <v>14</v>
      </c>
      <c r="G9" s="37" t="s">
        <v>15</v>
      </c>
      <c r="H9" s="37" t="s">
        <v>16</v>
      </c>
      <c r="I9" s="38">
        <v>10</v>
      </c>
      <c r="J9" s="38"/>
      <c r="K9" s="39" t="s">
        <v>38</v>
      </c>
    </row>
    <row r="10" spans="1:11" s="40" customFormat="1" ht="10.199999999999999" customHeight="1">
      <c r="A10" s="35">
        <v>9</v>
      </c>
      <c r="B10" s="36">
        <v>46283.857071759259</v>
      </c>
      <c r="C10" s="37" t="s">
        <v>39</v>
      </c>
      <c r="D10" s="37" t="s">
        <v>40</v>
      </c>
      <c r="E10" s="37" t="s">
        <v>41</v>
      </c>
      <c r="F10" s="37" t="s">
        <v>14</v>
      </c>
      <c r="G10" s="37" t="s">
        <v>15</v>
      </c>
      <c r="H10" s="37" t="s">
        <v>16</v>
      </c>
      <c r="I10" s="38">
        <v>100</v>
      </c>
      <c r="J10" s="38"/>
      <c r="K10" s="39" t="s">
        <v>42</v>
      </c>
    </row>
    <row r="11" spans="1:11" s="6" customFormat="1" ht="10.199999999999999" customHeight="1">
      <c r="A11" s="11">
        <v>10</v>
      </c>
      <c r="B11" s="10">
        <v>46283.857997685183</v>
      </c>
      <c r="C11" s="9" t="s">
        <v>43</v>
      </c>
      <c r="D11" s="9" t="s">
        <v>30</v>
      </c>
      <c r="E11" s="9" t="s">
        <v>31</v>
      </c>
      <c r="F11" s="9" t="s">
        <v>14</v>
      </c>
      <c r="G11" s="9" t="s">
        <v>15</v>
      </c>
      <c r="H11" s="9" t="s">
        <v>16</v>
      </c>
      <c r="I11" s="8">
        <v>10</v>
      </c>
      <c r="J11" s="8"/>
      <c r="K11" s="7" t="s">
        <v>44</v>
      </c>
    </row>
    <row r="12" spans="1:11" s="6" customFormat="1" ht="10.199999999999999" customHeight="1">
      <c r="A12" s="11">
        <v>11</v>
      </c>
      <c r="B12" s="10">
        <v>46283.858356481483</v>
      </c>
      <c r="C12" s="9" t="s">
        <v>45</v>
      </c>
      <c r="D12" s="9" t="s">
        <v>40</v>
      </c>
      <c r="E12" s="9" t="s">
        <v>41</v>
      </c>
      <c r="F12" s="9" t="s">
        <v>14</v>
      </c>
      <c r="G12" s="9" t="s">
        <v>15</v>
      </c>
      <c r="H12" s="9" t="s">
        <v>16</v>
      </c>
      <c r="I12" s="8">
        <v>100</v>
      </c>
      <c r="J12" s="8"/>
      <c r="K12" s="7" t="s">
        <v>46</v>
      </c>
    </row>
    <row r="13" spans="1:11" s="40" customFormat="1" ht="10.199999999999999" customHeight="1">
      <c r="A13" s="35">
        <v>12</v>
      </c>
      <c r="B13" s="36">
        <v>46283.858958333331</v>
      </c>
      <c r="C13" s="37" t="s">
        <v>47</v>
      </c>
      <c r="D13" s="37" t="s">
        <v>48</v>
      </c>
      <c r="E13" s="37" t="s">
        <v>49</v>
      </c>
      <c r="F13" s="37" t="s">
        <v>14</v>
      </c>
      <c r="G13" s="37" t="s">
        <v>15</v>
      </c>
      <c r="H13" s="37" t="s">
        <v>16</v>
      </c>
      <c r="I13" s="38">
        <v>10</v>
      </c>
      <c r="J13" s="38"/>
      <c r="K13" s="39" t="s">
        <v>50</v>
      </c>
    </row>
    <row r="14" spans="1:11" s="6" customFormat="1" ht="10.199999999999999" customHeight="1">
      <c r="A14" s="11">
        <v>13</v>
      </c>
      <c r="B14" s="10">
        <v>46283.859050925923</v>
      </c>
      <c r="C14" s="9" t="s">
        <v>51</v>
      </c>
      <c r="D14" s="9" t="s">
        <v>52</v>
      </c>
      <c r="E14" s="9" t="s">
        <v>53</v>
      </c>
      <c r="F14" s="9" t="s">
        <v>14</v>
      </c>
      <c r="G14" s="9" t="s">
        <v>15</v>
      </c>
      <c r="H14" s="9" t="s">
        <v>16</v>
      </c>
      <c r="I14" s="8">
        <v>107</v>
      </c>
      <c r="J14" s="8"/>
      <c r="K14" s="7" t="s">
        <v>54</v>
      </c>
    </row>
    <row r="15" spans="1:11" s="40" customFormat="1" ht="10.199999999999999" customHeight="1">
      <c r="A15" s="35">
        <v>14</v>
      </c>
      <c r="B15" s="36">
        <v>46283.8590625</v>
      </c>
      <c r="C15" s="37" t="s">
        <v>55</v>
      </c>
      <c r="D15" s="37" t="s">
        <v>48</v>
      </c>
      <c r="E15" s="37" t="s">
        <v>49</v>
      </c>
      <c r="F15" s="37" t="s">
        <v>14</v>
      </c>
      <c r="G15" s="37" t="s">
        <v>15</v>
      </c>
      <c r="H15" s="37" t="s">
        <v>16</v>
      </c>
      <c r="I15" s="38">
        <v>10</v>
      </c>
      <c r="J15" s="38"/>
      <c r="K15" s="39" t="s">
        <v>56</v>
      </c>
    </row>
    <row r="16" spans="1:11" s="19" customFormat="1" ht="10.199999999999999" customHeight="1">
      <c r="A16" s="24">
        <v>15</v>
      </c>
      <c r="B16" s="23">
        <v>46283.860277777778</v>
      </c>
      <c r="C16" s="22" t="s">
        <v>57</v>
      </c>
      <c r="D16" s="22" t="s">
        <v>48</v>
      </c>
      <c r="E16" s="22" t="s">
        <v>49</v>
      </c>
      <c r="F16" s="22" t="s">
        <v>14</v>
      </c>
      <c r="G16" s="22" t="s">
        <v>15</v>
      </c>
      <c r="H16" s="22" t="s">
        <v>16</v>
      </c>
      <c r="I16" s="21">
        <v>10</v>
      </c>
      <c r="J16" s="21"/>
      <c r="K16" s="20" t="s">
        <v>58</v>
      </c>
    </row>
    <row r="17" spans="1:11" s="19" customFormat="1" ht="10.199999999999999" customHeight="1">
      <c r="A17" s="24">
        <v>16</v>
      </c>
      <c r="B17" s="23">
        <v>46283.86041666667</v>
      </c>
      <c r="C17" s="22" t="s">
        <v>59</v>
      </c>
      <c r="D17" s="22" t="s">
        <v>40</v>
      </c>
      <c r="E17" s="22" t="s">
        <v>41</v>
      </c>
      <c r="F17" s="22" t="s">
        <v>14</v>
      </c>
      <c r="G17" s="22" t="s">
        <v>15</v>
      </c>
      <c r="H17" s="22" t="s">
        <v>16</v>
      </c>
      <c r="I17" s="21">
        <v>10</v>
      </c>
      <c r="J17" s="21"/>
      <c r="K17" s="20" t="s">
        <v>60</v>
      </c>
    </row>
    <row r="18" spans="1:11" s="40" customFormat="1" ht="10.199999999999999" customHeight="1">
      <c r="A18" s="35">
        <v>17</v>
      </c>
      <c r="B18" s="36">
        <v>46283.860659722224</v>
      </c>
      <c r="C18" s="37" t="s">
        <v>61</v>
      </c>
      <c r="D18" s="37" t="s">
        <v>48</v>
      </c>
      <c r="E18" s="37" t="s">
        <v>49</v>
      </c>
      <c r="F18" s="37" t="s">
        <v>14</v>
      </c>
      <c r="G18" s="37" t="s">
        <v>15</v>
      </c>
      <c r="H18" s="37" t="s">
        <v>16</v>
      </c>
      <c r="I18" s="38">
        <v>10</v>
      </c>
      <c r="J18" s="38"/>
      <c r="K18" s="39" t="s">
        <v>62</v>
      </c>
    </row>
    <row r="19" spans="1:11" s="6" customFormat="1" ht="10.199999999999999" customHeight="1">
      <c r="A19" s="11">
        <v>18</v>
      </c>
      <c r="B19" s="10">
        <v>46283.860856481479</v>
      </c>
      <c r="C19" s="9" t="s">
        <v>63</v>
      </c>
      <c r="D19" s="9" t="s">
        <v>30</v>
      </c>
      <c r="E19" s="9" t="s">
        <v>31</v>
      </c>
      <c r="F19" s="9" t="s">
        <v>14</v>
      </c>
      <c r="G19" s="9" t="s">
        <v>15</v>
      </c>
      <c r="H19" s="9" t="s">
        <v>16</v>
      </c>
      <c r="I19" s="8">
        <v>10</v>
      </c>
      <c r="J19" s="8"/>
      <c r="K19" s="7" t="s">
        <v>64</v>
      </c>
    </row>
    <row r="20" spans="1:11" s="40" customFormat="1" ht="10.199999999999999" customHeight="1">
      <c r="A20" s="35">
        <v>19</v>
      </c>
      <c r="B20" s="36">
        <v>46283.860868055555</v>
      </c>
      <c r="C20" s="37" t="s">
        <v>65</v>
      </c>
      <c r="D20" s="37" t="s">
        <v>34</v>
      </c>
      <c r="E20" s="37" t="s">
        <v>35</v>
      </c>
      <c r="F20" s="37" t="s">
        <v>14</v>
      </c>
      <c r="G20" s="37" t="s">
        <v>15</v>
      </c>
      <c r="H20" s="37" t="s">
        <v>16</v>
      </c>
      <c r="I20" s="38">
        <v>10</v>
      </c>
      <c r="J20" s="38"/>
      <c r="K20" s="39" t="s">
        <v>66</v>
      </c>
    </row>
    <row r="21" spans="1:11" s="40" customFormat="1" ht="10.199999999999999" customHeight="1">
      <c r="A21" s="35">
        <v>20</v>
      </c>
      <c r="B21" s="36">
        <v>46283.861689814818</v>
      </c>
      <c r="C21" s="37" t="s">
        <v>67</v>
      </c>
      <c r="D21" s="37" t="s">
        <v>48</v>
      </c>
      <c r="E21" s="37" t="s">
        <v>49</v>
      </c>
      <c r="F21" s="37" t="s">
        <v>14</v>
      </c>
      <c r="G21" s="37" t="s">
        <v>15</v>
      </c>
      <c r="H21" s="37" t="s">
        <v>16</v>
      </c>
      <c r="I21" s="38">
        <v>10</v>
      </c>
      <c r="J21" s="38"/>
      <c r="K21" s="39" t="s">
        <v>68</v>
      </c>
    </row>
    <row r="22" spans="1:11" s="12" customFormat="1" ht="10.199999999999999" customHeight="1">
      <c r="A22" s="17">
        <v>21</v>
      </c>
      <c r="B22" s="16">
        <v>46283.861932870372</v>
      </c>
      <c r="C22" s="15" t="s">
        <v>69</v>
      </c>
      <c r="D22" s="15" t="s">
        <v>70</v>
      </c>
      <c r="E22" s="15" t="s">
        <v>71</v>
      </c>
      <c r="F22" s="15" t="s">
        <v>14</v>
      </c>
      <c r="G22" s="15" t="s">
        <v>15</v>
      </c>
      <c r="H22" s="15" t="s">
        <v>16</v>
      </c>
      <c r="I22" s="14">
        <v>345</v>
      </c>
      <c r="J22" s="14"/>
      <c r="K22" s="13" t="s">
        <v>72</v>
      </c>
    </row>
    <row r="23" spans="1:11" s="12" customFormat="1" ht="10.199999999999999" customHeight="1">
      <c r="A23" s="17">
        <v>22</v>
      </c>
      <c r="B23" s="16">
        <v>46283.862708333334</v>
      </c>
      <c r="C23" s="15" t="s">
        <v>73</v>
      </c>
      <c r="D23" s="15" t="s">
        <v>70</v>
      </c>
      <c r="E23" s="15" t="s">
        <v>71</v>
      </c>
      <c r="F23" s="15" t="s">
        <v>14</v>
      </c>
      <c r="G23" s="15" t="s">
        <v>15</v>
      </c>
      <c r="H23" s="15" t="s">
        <v>16</v>
      </c>
      <c r="I23" s="14">
        <v>335</v>
      </c>
      <c r="J23" s="14"/>
      <c r="K23" s="13"/>
    </row>
    <row r="24" spans="1:11" s="6" customFormat="1" ht="10.199999999999999" customHeight="1">
      <c r="A24" s="11">
        <v>23</v>
      </c>
      <c r="B24" s="10">
        <v>46283.863900462966</v>
      </c>
      <c r="C24" s="9" t="s">
        <v>74</v>
      </c>
      <c r="D24" s="9" t="s">
        <v>75</v>
      </c>
      <c r="E24" s="9" t="s">
        <v>76</v>
      </c>
      <c r="F24" s="9" t="s">
        <v>14</v>
      </c>
      <c r="G24" s="9" t="s">
        <v>15</v>
      </c>
      <c r="H24" s="9" t="s">
        <v>16</v>
      </c>
      <c r="I24" s="8">
        <v>10</v>
      </c>
      <c r="J24" s="8"/>
      <c r="K24" s="7" t="s">
        <v>17</v>
      </c>
    </row>
    <row r="25" spans="1:11" s="12" customFormat="1" ht="10.199999999999999" customHeight="1">
      <c r="A25" s="17">
        <v>24</v>
      </c>
      <c r="B25" s="16">
        <v>46283.863993055558</v>
      </c>
      <c r="C25" s="15" t="s">
        <v>77</v>
      </c>
      <c r="D25" s="15" t="s">
        <v>40</v>
      </c>
      <c r="E25" s="15" t="s">
        <v>41</v>
      </c>
      <c r="F25" s="15" t="s">
        <v>14</v>
      </c>
      <c r="G25" s="15" t="s">
        <v>15</v>
      </c>
      <c r="H25" s="15" t="s">
        <v>16</v>
      </c>
      <c r="I25" s="26">
        <v>1033</v>
      </c>
      <c r="J25" s="14"/>
      <c r="K25" s="13" t="s">
        <v>78</v>
      </c>
    </row>
    <row r="26" spans="1:11" s="40" customFormat="1" ht="10.199999999999999" customHeight="1">
      <c r="A26" s="35">
        <v>25</v>
      </c>
      <c r="B26" s="36">
        <v>46283.864930555559</v>
      </c>
      <c r="C26" s="37" t="s">
        <v>79</v>
      </c>
      <c r="D26" s="37" t="s">
        <v>48</v>
      </c>
      <c r="E26" s="37" t="s">
        <v>49</v>
      </c>
      <c r="F26" s="37" t="s">
        <v>14</v>
      </c>
      <c r="G26" s="37" t="s">
        <v>15</v>
      </c>
      <c r="H26" s="37" t="s">
        <v>16</v>
      </c>
      <c r="I26" s="38">
        <v>10</v>
      </c>
      <c r="J26" s="38"/>
      <c r="K26" s="39" t="s">
        <v>80</v>
      </c>
    </row>
    <row r="27" spans="1:11" s="40" customFormat="1" ht="10.199999999999999" customHeight="1">
      <c r="A27" s="35">
        <v>26</v>
      </c>
      <c r="B27" s="36">
        <v>46283.865046296298</v>
      </c>
      <c r="C27" s="37" t="s">
        <v>81</v>
      </c>
      <c r="D27" s="37" t="s">
        <v>48</v>
      </c>
      <c r="E27" s="37" t="s">
        <v>49</v>
      </c>
      <c r="F27" s="37" t="s">
        <v>14</v>
      </c>
      <c r="G27" s="37" t="s">
        <v>15</v>
      </c>
      <c r="H27" s="37" t="s">
        <v>16</v>
      </c>
      <c r="I27" s="38">
        <v>10</v>
      </c>
      <c r="J27" s="38"/>
      <c r="K27" s="39" t="s">
        <v>82</v>
      </c>
    </row>
    <row r="28" spans="1:11" s="40" customFormat="1" ht="10.199999999999999" customHeight="1">
      <c r="A28" s="35">
        <v>27</v>
      </c>
      <c r="B28" s="36">
        <v>46283.86515046296</v>
      </c>
      <c r="C28" s="37" t="s">
        <v>83</v>
      </c>
      <c r="D28" s="37" t="s">
        <v>48</v>
      </c>
      <c r="E28" s="37" t="s">
        <v>49</v>
      </c>
      <c r="F28" s="37" t="s">
        <v>14</v>
      </c>
      <c r="G28" s="37" t="s">
        <v>15</v>
      </c>
      <c r="H28" s="37" t="s">
        <v>16</v>
      </c>
      <c r="I28" s="38">
        <v>10</v>
      </c>
      <c r="J28" s="38"/>
      <c r="K28" s="39" t="s">
        <v>84</v>
      </c>
    </row>
    <row r="29" spans="1:11" s="12" customFormat="1" ht="10.199999999999999" customHeight="1">
      <c r="A29" s="17">
        <v>28</v>
      </c>
      <c r="B29" s="16">
        <v>46283.866516203707</v>
      </c>
      <c r="C29" s="15" t="s">
        <v>85</v>
      </c>
      <c r="D29" s="15" t="s">
        <v>86</v>
      </c>
      <c r="E29" s="15" t="s">
        <v>87</v>
      </c>
      <c r="F29" s="15" t="s">
        <v>14</v>
      </c>
      <c r="G29" s="15" t="s">
        <v>15</v>
      </c>
      <c r="H29" s="15" t="s">
        <v>16</v>
      </c>
      <c r="I29" s="31">
        <v>1470</v>
      </c>
      <c r="J29" s="14"/>
      <c r="K29" s="13" t="s">
        <v>88</v>
      </c>
    </row>
    <row r="30" spans="1:11" s="6" customFormat="1" ht="10.199999999999999" customHeight="1">
      <c r="A30" s="11">
        <v>29</v>
      </c>
      <c r="B30" s="10">
        <v>46283.867592592593</v>
      </c>
      <c r="C30" s="9" t="s">
        <v>89</v>
      </c>
      <c r="D30" s="9" t="s">
        <v>48</v>
      </c>
      <c r="E30" s="9" t="s">
        <v>49</v>
      </c>
      <c r="F30" s="9" t="s">
        <v>14</v>
      </c>
      <c r="G30" s="9" t="s">
        <v>15</v>
      </c>
      <c r="H30" s="9" t="s">
        <v>16</v>
      </c>
      <c r="I30" s="8">
        <v>100</v>
      </c>
      <c r="J30" s="8"/>
      <c r="K30" s="7" t="s">
        <v>90</v>
      </c>
    </row>
    <row r="31" spans="1:11" s="6" customFormat="1" ht="10.199999999999999" customHeight="1">
      <c r="A31" s="11">
        <v>30</v>
      </c>
      <c r="B31" s="10">
        <v>46283.86886574074</v>
      </c>
      <c r="C31" s="9" t="s">
        <v>91</v>
      </c>
      <c r="D31" s="9" t="s">
        <v>86</v>
      </c>
      <c r="E31" s="9" t="s">
        <v>87</v>
      </c>
      <c r="F31" s="9" t="s">
        <v>14</v>
      </c>
      <c r="G31" s="9" t="s">
        <v>15</v>
      </c>
      <c r="H31" s="9" t="s">
        <v>16</v>
      </c>
      <c r="I31" s="8">
        <v>30</v>
      </c>
      <c r="J31" s="8"/>
      <c r="K31" s="7" t="s">
        <v>92</v>
      </c>
    </row>
    <row r="32" spans="1:11" s="12" customFormat="1" ht="10.199999999999999" customHeight="1">
      <c r="A32" s="17">
        <v>31</v>
      </c>
      <c r="B32" s="16">
        <v>46283.870219907411</v>
      </c>
      <c r="C32" s="15" t="s">
        <v>93</v>
      </c>
      <c r="D32" s="15" t="s">
        <v>94</v>
      </c>
      <c r="E32" s="15" t="s">
        <v>95</v>
      </c>
      <c r="F32" s="15" t="s">
        <v>14</v>
      </c>
      <c r="G32" s="15" t="s">
        <v>15</v>
      </c>
      <c r="H32" s="15" t="s">
        <v>16</v>
      </c>
      <c r="I32" s="25">
        <v>2870</v>
      </c>
      <c r="J32" s="14"/>
      <c r="K32" s="13" t="s">
        <v>96</v>
      </c>
    </row>
    <row r="33" spans="1:11" s="12" customFormat="1" ht="10.199999999999999" customHeight="1">
      <c r="A33" s="17">
        <v>32</v>
      </c>
      <c r="B33" s="16">
        <v>46283.870706018519</v>
      </c>
      <c r="C33" s="15" t="s">
        <v>97</v>
      </c>
      <c r="D33" s="15" t="s">
        <v>40</v>
      </c>
      <c r="E33" s="15" t="s">
        <v>41</v>
      </c>
      <c r="F33" s="15" t="s">
        <v>14</v>
      </c>
      <c r="G33" s="15" t="s">
        <v>15</v>
      </c>
      <c r="H33" s="15" t="s">
        <v>16</v>
      </c>
      <c r="I33" s="25">
        <v>2870</v>
      </c>
      <c r="J33" s="14"/>
      <c r="K33" s="13" t="s">
        <v>98</v>
      </c>
    </row>
    <row r="34" spans="1:11" s="12" customFormat="1" ht="10.199999999999999" customHeight="1">
      <c r="A34" s="17">
        <v>33</v>
      </c>
      <c r="B34" s="16">
        <v>46283.878692129627</v>
      </c>
      <c r="C34" s="15" t="s">
        <v>99</v>
      </c>
      <c r="D34" s="15" t="s">
        <v>94</v>
      </c>
      <c r="E34" s="15" t="s">
        <v>95</v>
      </c>
      <c r="F34" s="15" t="s">
        <v>14</v>
      </c>
      <c r="G34" s="15" t="s">
        <v>15</v>
      </c>
      <c r="H34" s="15" t="s">
        <v>16</v>
      </c>
      <c r="I34" s="14">
        <v>365</v>
      </c>
      <c r="J34" s="14"/>
      <c r="K34" s="13" t="s">
        <v>100</v>
      </c>
    </row>
    <row r="35" spans="1:11" s="12" customFormat="1" ht="10.199999999999999" customHeight="1">
      <c r="A35" s="17">
        <v>34</v>
      </c>
      <c r="B35" s="16">
        <v>46283.879537037035</v>
      </c>
      <c r="C35" s="15" t="s">
        <v>101</v>
      </c>
      <c r="D35" s="15" t="s">
        <v>40</v>
      </c>
      <c r="E35" s="15" t="s">
        <v>41</v>
      </c>
      <c r="F35" s="15" t="s">
        <v>14</v>
      </c>
      <c r="G35" s="15" t="s">
        <v>15</v>
      </c>
      <c r="H35" s="15" t="s">
        <v>16</v>
      </c>
      <c r="I35" s="14">
        <v>124</v>
      </c>
      <c r="J35" s="14"/>
      <c r="K35" s="13"/>
    </row>
    <row r="36" spans="1:11" s="12" customFormat="1" ht="10.199999999999999" customHeight="1">
      <c r="A36" s="17">
        <v>35</v>
      </c>
      <c r="B36" s="16">
        <v>46283.879675925928</v>
      </c>
      <c r="C36" s="15" t="s">
        <v>102</v>
      </c>
      <c r="D36" s="15" t="s">
        <v>40</v>
      </c>
      <c r="E36" s="15" t="s">
        <v>41</v>
      </c>
      <c r="F36" s="15" t="s">
        <v>14</v>
      </c>
      <c r="G36" s="15" t="s">
        <v>15</v>
      </c>
      <c r="H36" s="15" t="s">
        <v>16</v>
      </c>
      <c r="I36" s="14">
        <v>119</v>
      </c>
      <c r="J36" s="14"/>
      <c r="K36" s="13"/>
    </row>
    <row r="37" spans="1:11" s="12" customFormat="1" ht="10.199999999999999" customHeight="1">
      <c r="A37" s="17">
        <v>36</v>
      </c>
      <c r="B37" s="16">
        <v>46283.879872685182</v>
      </c>
      <c r="C37" s="15" t="s">
        <v>103</v>
      </c>
      <c r="D37" s="15" t="s">
        <v>40</v>
      </c>
      <c r="E37" s="15" t="s">
        <v>41</v>
      </c>
      <c r="F37" s="15" t="s">
        <v>14</v>
      </c>
      <c r="G37" s="15" t="s">
        <v>15</v>
      </c>
      <c r="H37" s="15" t="s">
        <v>16</v>
      </c>
      <c r="I37" s="14">
        <v>189</v>
      </c>
      <c r="J37" s="14"/>
      <c r="K37" s="13"/>
    </row>
    <row r="38" spans="1:11" s="12" customFormat="1" ht="10.199999999999999" customHeight="1">
      <c r="A38" s="17">
        <v>37</v>
      </c>
      <c r="B38" s="16">
        <v>46283.879930555559</v>
      </c>
      <c r="C38" s="15" t="s">
        <v>104</v>
      </c>
      <c r="D38" s="15" t="s">
        <v>40</v>
      </c>
      <c r="E38" s="15" t="s">
        <v>41</v>
      </c>
      <c r="F38" s="15" t="s">
        <v>14</v>
      </c>
      <c r="G38" s="15" t="s">
        <v>15</v>
      </c>
      <c r="H38" s="15" t="s">
        <v>16</v>
      </c>
      <c r="I38" s="14">
        <v>266</v>
      </c>
      <c r="J38" s="14"/>
      <c r="K38" s="13"/>
    </row>
    <row r="39" spans="1:11" s="12" customFormat="1" ht="10.199999999999999" customHeight="1">
      <c r="A39" s="17">
        <v>38</v>
      </c>
      <c r="B39" s="16">
        <v>46283.88076388889</v>
      </c>
      <c r="C39" s="15" t="s">
        <v>105</v>
      </c>
      <c r="D39" s="15" t="s">
        <v>40</v>
      </c>
      <c r="E39" s="15" t="s">
        <v>41</v>
      </c>
      <c r="F39" s="15" t="s">
        <v>14</v>
      </c>
      <c r="G39" s="15" t="s">
        <v>15</v>
      </c>
      <c r="H39" s="15" t="s">
        <v>16</v>
      </c>
      <c r="I39" s="26">
        <v>1472</v>
      </c>
      <c r="J39" s="14"/>
      <c r="K39" s="13"/>
    </row>
    <row r="40" spans="1:11" s="12" customFormat="1" ht="10.199999999999999" customHeight="1">
      <c r="A40" s="17">
        <v>39</v>
      </c>
      <c r="B40" s="16">
        <v>46283.882754629631</v>
      </c>
      <c r="C40" s="15" t="s">
        <v>106</v>
      </c>
      <c r="D40" s="15" t="s">
        <v>40</v>
      </c>
      <c r="E40" s="15" t="s">
        <v>41</v>
      </c>
      <c r="F40" s="15" t="s">
        <v>14</v>
      </c>
      <c r="G40" s="15" t="s">
        <v>15</v>
      </c>
      <c r="H40" s="15" t="s">
        <v>16</v>
      </c>
      <c r="I40" s="26">
        <v>1312</v>
      </c>
      <c r="J40" s="14"/>
      <c r="K40" s="13"/>
    </row>
    <row r="41" spans="1:11" s="6" customFormat="1" ht="10.199999999999999" customHeight="1">
      <c r="A41" s="11">
        <v>40</v>
      </c>
      <c r="B41" s="10">
        <v>46283.887453703705</v>
      </c>
      <c r="C41" s="9" t="s">
        <v>107</v>
      </c>
      <c r="D41" s="9" t="s">
        <v>40</v>
      </c>
      <c r="E41" s="9" t="s">
        <v>41</v>
      </c>
      <c r="F41" s="9" t="s">
        <v>14</v>
      </c>
      <c r="G41" s="9" t="s">
        <v>15</v>
      </c>
      <c r="H41" s="9" t="s">
        <v>16</v>
      </c>
      <c r="I41" s="8">
        <v>467</v>
      </c>
      <c r="J41" s="8"/>
      <c r="K41" s="7" t="s">
        <v>108</v>
      </c>
    </row>
    <row r="42" spans="1:11" s="6" customFormat="1" ht="10.199999999999999" customHeight="1">
      <c r="A42" s="11">
        <v>41</v>
      </c>
      <c r="B42" s="10">
        <v>46283.888981481483</v>
      </c>
      <c r="C42" s="9" t="s">
        <v>109</v>
      </c>
      <c r="D42" s="9" t="s">
        <v>94</v>
      </c>
      <c r="E42" s="9" t="s">
        <v>95</v>
      </c>
      <c r="F42" s="9" t="s">
        <v>14</v>
      </c>
      <c r="G42" s="9" t="s">
        <v>15</v>
      </c>
      <c r="H42" s="9" t="s">
        <v>16</v>
      </c>
      <c r="I42" s="8">
        <v>122</v>
      </c>
      <c r="J42" s="8"/>
      <c r="K42" s="7" t="s">
        <v>110</v>
      </c>
    </row>
    <row r="43" spans="1:11" s="12" customFormat="1" ht="10.199999999999999" customHeight="1">
      <c r="A43" s="17">
        <v>42</v>
      </c>
      <c r="B43" s="16">
        <v>46283.889282407406</v>
      </c>
      <c r="C43" s="15" t="s">
        <v>111</v>
      </c>
      <c r="D43" s="15" t="s">
        <v>112</v>
      </c>
      <c r="E43" s="15" t="s">
        <v>113</v>
      </c>
      <c r="F43" s="15" t="s">
        <v>14</v>
      </c>
      <c r="G43" s="15" t="s">
        <v>15</v>
      </c>
      <c r="H43" s="15" t="s">
        <v>16</v>
      </c>
      <c r="I43" s="14">
        <v>365</v>
      </c>
      <c r="J43" s="14"/>
      <c r="K43" s="13" t="s">
        <v>114</v>
      </c>
    </row>
    <row r="44" spans="1:11" s="12" customFormat="1" ht="10.199999999999999" customHeight="1">
      <c r="A44" s="17">
        <v>43</v>
      </c>
      <c r="B44" s="16">
        <v>46283.890092592592</v>
      </c>
      <c r="C44" s="15" t="s">
        <v>115</v>
      </c>
      <c r="D44" s="15" t="s">
        <v>112</v>
      </c>
      <c r="E44" s="15" t="s">
        <v>113</v>
      </c>
      <c r="F44" s="15" t="s">
        <v>14</v>
      </c>
      <c r="G44" s="15" t="s">
        <v>15</v>
      </c>
      <c r="H44" s="15" t="s">
        <v>16</v>
      </c>
      <c r="I44" s="14">
        <v>135</v>
      </c>
      <c r="J44" s="14"/>
      <c r="K44" s="13" t="s">
        <v>116</v>
      </c>
    </row>
    <row r="45" spans="1:11" s="6" customFormat="1" ht="10.199999999999999" customHeight="1">
      <c r="A45" s="11">
        <v>44</v>
      </c>
      <c r="B45" s="10">
        <v>46283.893923611111</v>
      </c>
      <c r="C45" s="9" t="s">
        <v>117</v>
      </c>
      <c r="D45" s="9" t="s">
        <v>118</v>
      </c>
      <c r="E45" s="9" t="s">
        <v>119</v>
      </c>
      <c r="F45" s="9" t="s">
        <v>14</v>
      </c>
      <c r="G45" s="9" t="s">
        <v>15</v>
      </c>
      <c r="H45" s="9" t="s">
        <v>16</v>
      </c>
      <c r="I45" s="8">
        <v>33</v>
      </c>
      <c r="J45" s="8"/>
      <c r="K45" s="7" t="s">
        <v>120</v>
      </c>
    </row>
    <row r="46" spans="1:11" s="6" customFormat="1" ht="10.199999999999999" customHeight="1">
      <c r="A46" s="11">
        <v>45</v>
      </c>
      <c r="B46" s="10">
        <v>46283.894155092596</v>
      </c>
      <c r="C46" s="9" t="s">
        <v>121</v>
      </c>
      <c r="D46" s="9" t="s">
        <v>118</v>
      </c>
      <c r="E46" s="9" t="s">
        <v>119</v>
      </c>
      <c r="F46" s="9" t="s">
        <v>14</v>
      </c>
      <c r="G46" s="9" t="s">
        <v>15</v>
      </c>
      <c r="H46" s="9" t="s">
        <v>16</v>
      </c>
      <c r="I46" s="8">
        <v>467</v>
      </c>
      <c r="J46" s="8"/>
      <c r="K46" s="7" t="s">
        <v>122</v>
      </c>
    </row>
    <row r="47" spans="1:11" s="12" customFormat="1" ht="10.199999999999999" customHeight="1">
      <c r="A47" s="17">
        <v>46</v>
      </c>
      <c r="B47" s="16">
        <v>46283.896423611113</v>
      </c>
      <c r="C47" s="15" t="s">
        <v>123</v>
      </c>
      <c r="D47" s="15" t="s">
        <v>124</v>
      </c>
      <c r="E47" s="15" t="s">
        <v>125</v>
      </c>
      <c r="F47" s="15" t="s">
        <v>14</v>
      </c>
      <c r="G47" s="15" t="s">
        <v>15</v>
      </c>
      <c r="H47" s="15" t="s">
        <v>16</v>
      </c>
      <c r="I47" s="26">
        <v>1077</v>
      </c>
      <c r="J47" s="14"/>
      <c r="K47" s="13" t="s">
        <v>126</v>
      </c>
    </row>
    <row r="48" spans="1:11" s="12" customFormat="1" ht="10.199999999999999" customHeight="1">
      <c r="A48" s="17">
        <v>47</v>
      </c>
      <c r="B48" s="16">
        <v>46283.896874999999</v>
      </c>
      <c r="C48" s="15" t="s">
        <v>127</v>
      </c>
      <c r="D48" s="15" t="s">
        <v>40</v>
      </c>
      <c r="E48" s="15" t="s">
        <v>41</v>
      </c>
      <c r="F48" s="15" t="s">
        <v>14</v>
      </c>
      <c r="G48" s="15" t="s">
        <v>15</v>
      </c>
      <c r="H48" s="15" t="s">
        <v>16</v>
      </c>
      <c r="I48" s="26">
        <v>1077</v>
      </c>
      <c r="J48" s="14"/>
      <c r="K48" s="13" t="s">
        <v>98</v>
      </c>
    </row>
    <row r="49" spans="1:11" s="6" customFormat="1" ht="10.199999999999999" customHeight="1">
      <c r="A49" s="11">
        <v>48</v>
      </c>
      <c r="B49" s="10">
        <v>46283.897685185184</v>
      </c>
      <c r="C49" s="9" t="s">
        <v>128</v>
      </c>
      <c r="D49" s="9" t="s">
        <v>124</v>
      </c>
      <c r="E49" s="9" t="s">
        <v>125</v>
      </c>
      <c r="F49" s="9" t="s">
        <v>14</v>
      </c>
      <c r="G49" s="9" t="s">
        <v>15</v>
      </c>
      <c r="H49" s="9" t="s">
        <v>16</v>
      </c>
      <c r="I49" s="8">
        <v>467</v>
      </c>
      <c r="J49" s="8"/>
      <c r="K49" s="7" t="s">
        <v>129</v>
      </c>
    </row>
    <row r="50" spans="1:11" s="6" customFormat="1" ht="10.199999999999999" customHeight="1">
      <c r="A50" s="11">
        <v>49</v>
      </c>
      <c r="B50" s="10">
        <v>46283.89875</v>
      </c>
      <c r="C50" s="9" t="s">
        <v>130</v>
      </c>
      <c r="D50" s="9" t="s">
        <v>40</v>
      </c>
      <c r="E50" s="9" t="s">
        <v>41</v>
      </c>
      <c r="F50" s="9" t="s">
        <v>14</v>
      </c>
      <c r="G50" s="9" t="s">
        <v>15</v>
      </c>
      <c r="H50" s="9" t="s">
        <v>16</v>
      </c>
      <c r="I50" s="8">
        <v>100</v>
      </c>
      <c r="J50" s="8"/>
      <c r="K50" s="7" t="s">
        <v>131</v>
      </c>
    </row>
    <row r="51" spans="1:11" s="6" customFormat="1" ht="10.199999999999999" customHeight="1">
      <c r="A51" s="11">
        <v>50</v>
      </c>
      <c r="B51" s="10">
        <v>46283.905092592591</v>
      </c>
      <c r="C51" s="9" t="s">
        <v>132</v>
      </c>
      <c r="D51" s="9" t="s">
        <v>118</v>
      </c>
      <c r="E51" s="9" t="s">
        <v>119</v>
      </c>
      <c r="F51" s="9" t="s">
        <v>14</v>
      </c>
      <c r="G51" s="9" t="s">
        <v>15</v>
      </c>
      <c r="H51" s="30" t="s">
        <v>133</v>
      </c>
      <c r="I51" s="29">
        <v>370</v>
      </c>
      <c r="J51" s="29"/>
      <c r="K51" s="7" t="s">
        <v>134</v>
      </c>
    </row>
    <row r="52" spans="1:11" s="6" customFormat="1" ht="10.199999999999999" customHeight="1">
      <c r="A52" s="11">
        <v>51</v>
      </c>
      <c r="B52" s="10">
        <v>46283.905185185184</v>
      </c>
      <c r="C52" s="9" t="s">
        <v>135</v>
      </c>
      <c r="D52" s="9" t="s">
        <v>118</v>
      </c>
      <c r="E52" s="9" t="s">
        <v>119</v>
      </c>
      <c r="F52" s="9" t="s">
        <v>14</v>
      </c>
      <c r="G52" s="9" t="s">
        <v>15</v>
      </c>
      <c r="H52" s="9" t="s">
        <v>16</v>
      </c>
      <c r="I52" s="8">
        <v>135</v>
      </c>
      <c r="J52" s="8"/>
      <c r="K52" s="7" t="s">
        <v>136</v>
      </c>
    </row>
    <row r="53" spans="1:11" s="6" customFormat="1" ht="10.199999999999999" customHeight="1">
      <c r="A53" s="11">
        <v>52</v>
      </c>
      <c r="B53" s="10">
        <v>46283.911111111112</v>
      </c>
      <c r="C53" s="9" t="s">
        <v>137</v>
      </c>
      <c r="D53" s="9" t="s">
        <v>138</v>
      </c>
      <c r="E53" s="9" t="s">
        <v>139</v>
      </c>
      <c r="F53" s="9" t="s">
        <v>14</v>
      </c>
      <c r="G53" s="9" t="s">
        <v>15</v>
      </c>
      <c r="H53" s="9" t="s">
        <v>16</v>
      </c>
      <c r="I53" s="8">
        <v>467</v>
      </c>
      <c r="J53" s="8"/>
      <c r="K53" s="7"/>
    </row>
    <row r="54" spans="1:11" s="19" customFormat="1" ht="10.199999999999999" customHeight="1">
      <c r="A54" s="24">
        <v>53</v>
      </c>
      <c r="B54" s="23">
        <v>46283.91269675926</v>
      </c>
      <c r="C54" s="22" t="s">
        <v>140</v>
      </c>
      <c r="D54" s="22" t="s">
        <v>30</v>
      </c>
      <c r="E54" s="22" t="s">
        <v>31</v>
      </c>
      <c r="F54" s="22" t="s">
        <v>14</v>
      </c>
      <c r="G54" s="22" t="s">
        <v>15</v>
      </c>
      <c r="H54" s="22" t="s">
        <v>16</v>
      </c>
      <c r="I54" s="21">
        <v>18</v>
      </c>
      <c r="J54" s="21"/>
      <c r="K54" s="20" t="s">
        <v>141</v>
      </c>
    </row>
    <row r="55" spans="1:11" s="12" customFormat="1" ht="10.199999999999999" customHeight="1">
      <c r="A55" s="17">
        <v>54</v>
      </c>
      <c r="B55" s="16">
        <v>46283.915717592594</v>
      </c>
      <c r="C55" s="15" t="s">
        <v>142</v>
      </c>
      <c r="D55" s="15" t="s">
        <v>40</v>
      </c>
      <c r="E55" s="15" t="s">
        <v>41</v>
      </c>
      <c r="F55" s="15" t="s">
        <v>14</v>
      </c>
      <c r="G55" s="15" t="s">
        <v>15</v>
      </c>
      <c r="H55" s="15" t="s">
        <v>16</v>
      </c>
      <c r="I55" s="26">
        <v>1472</v>
      </c>
      <c r="J55" s="14"/>
      <c r="K55" s="13" t="s">
        <v>143</v>
      </c>
    </row>
    <row r="56" spans="1:11" s="6" customFormat="1" ht="10.199999999999999" customHeight="1">
      <c r="A56" s="11">
        <v>55</v>
      </c>
      <c r="B56" s="10">
        <v>46283.918611111112</v>
      </c>
      <c r="C56" s="9" t="s">
        <v>144</v>
      </c>
      <c r="D56" s="9" t="s">
        <v>138</v>
      </c>
      <c r="E56" s="9" t="s">
        <v>139</v>
      </c>
      <c r="F56" s="9" t="s">
        <v>14</v>
      </c>
      <c r="G56" s="9" t="s">
        <v>15</v>
      </c>
      <c r="H56" s="9" t="s">
        <v>16</v>
      </c>
      <c r="I56" s="8">
        <v>99</v>
      </c>
      <c r="J56" s="8"/>
      <c r="K56" s="7"/>
    </row>
    <row r="57" spans="1:11" s="12" customFormat="1" ht="10.199999999999999" customHeight="1">
      <c r="A57" s="17">
        <v>56</v>
      </c>
      <c r="B57" s="16">
        <v>46283.91909722222</v>
      </c>
      <c r="C57" s="15" t="s">
        <v>145</v>
      </c>
      <c r="D57" s="15" t="s">
        <v>40</v>
      </c>
      <c r="E57" s="15" t="s">
        <v>41</v>
      </c>
      <c r="F57" s="15" t="s">
        <v>14</v>
      </c>
      <c r="G57" s="15" t="s">
        <v>15</v>
      </c>
      <c r="H57" s="15" t="s">
        <v>16</v>
      </c>
      <c r="I57" s="14">
        <v>99</v>
      </c>
      <c r="J57" s="14"/>
      <c r="K57" s="13"/>
    </row>
    <row r="58" spans="1:11" s="12" customFormat="1" ht="10.199999999999999" customHeight="1">
      <c r="A58" s="17">
        <v>57</v>
      </c>
      <c r="B58" s="16">
        <v>46283.919131944444</v>
      </c>
      <c r="C58" s="15" t="s">
        <v>146</v>
      </c>
      <c r="D58" s="15" t="s">
        <v>147</v>
      </c>
      <c r="E58" s="15" t="s">
        <v>148</v>
      </c>
      <c r="F58" s="15" t="s">
        <v>14</v>
      </c>
      <c r="G58" s="15" t="s">
        <v>15</v>
      </c>
      <c r="H58" s="15" t="s">
        <v>16</v>
      </c>
      <c r="I58" s="14">
        <v>100</v>
      </c>
      <c r="J58" s="14"/>
      <c r="K58" s="13" t="s">
        <v>14</v>
      </c>
    </row>
    <row r="59" spans="1:11" s="6" customFormat="1" ht="10.199999999999999" customHeight="1">
      <c r="A59" s="11">
        <v>58</v>
      </c>
      <c r="B59" s="10">
        <v>46283.919606481482</v>
      </c>
      <c r="C59" s="9" t="s">
        <v>149</v>
      </c>
      <c r="D59" s="9" t="s">
        <v>147</v>
      </c>
      <c r="E59" s="9" t="s">
        <v>148</v>
      </c>
      <c r="F59" s="9" t="s">
        <v>14</v>
      </c>
      <c r="G59" s="9" t="s">
        <v>15</v>
      </c>
      <c r="H59" s="9" t="s">
        <v>16</v>
      </c>
      <c r="I59" s="8">
        <v>100</v>
      </c>
      <c r="J59" s="8"/>
      <c r="K59" s="7" t="s">
        <v>150</v>
      </c>
    </row>
    <row r="60" spans="1:11" s="6" customFormat="1" ht="10.199999999999999" customHeight="1">
      <c r="A60" s="11">
        <v>59</v>
      </c>
      <c r="B60" s="10">
        <v>46283.920983796299</v>
      </c>
      <c r="C60" s="9" t="s">
        <v>151</v>
      </c>
      <c r="D60" s="9" t="s">
        <v>138</v>
      </c>
      <c r="E60" s="9" t="s">
        <v>139</v>
      </c>
      <c r="F60" s="9" t="s">
        <v>14</v>
      </c>
      <c r="G60" s="9" t="s">
        <v>15</v>
      </c>
      <c r="H60" s="9" t="s">
        <v>16</v>
      </c>
      <c r="I60" s="8">
        <v>200</v>
      </c>
      <c r="J60" s="8"/>
      <c r="K60" s="7"/>
    </row>
    <row r="61" spans="1:11" s="6" customFormat="1" ht="10.199999999999999" customHeight="1">
      <c r="A61" s="11">
        <v>60</v>
      </c>
      <c r="B61" s="10">
        <v>46283.9216087963</v>
      </c>
      <c r="C61" s="9" t="s">
        <v>152</v>
      </c>
      <c r="D61" s="9" t="s">
        <v>40</v>
      </c>
      <c r="E61" s="9" t="s">
        <v>41</v>
      </c>
      <c r="F61" s="9" t="s">
        <v>14</v>
      </c>
      <c r="G61" s="9" t="s">
        <v>15</v>
      </c>
      <c r="H61" s="9" t="s">
        <v>16</v>
      </c>
      <c r="I61" s="8">
        <v>310</v>
      </c>
      <c r="J61" s="8"/>
      <c r="K61" s="7" t="s">
        <v>17</v>
      </c>
    </row>
    <row r="62" spans="1:11" s="6" customFormat="1" ht="10.199999999999999" customHeight="1">
      <c r="A62" s="11">
        <v>61</v>
      </c>
      <c r="B62" s="10">
        <v>46283.923657407409</v>
      </c>
      <c r="C62" s="9" t="s">
        <v>153</v>
      </c>
      <c r="D62" s="9" t="s">
        <v>30</v>
      </c>
      <c r="E62" s="9" t="s">
        <v>31</v>
      </c>
      <c r="F62" s="9" t="s">
        <v>14</v>
      </c>
      <c r="G62" s="9" t="s">
        <v>15</v>
      </c>
      <c r="H62" s="9" t="s">
        <v>16</v>
      </c>
      <c r="I62" s="8">
        <v>467</v>
      </c>
      <c r="J62" s="8"/>
      <c r="K62" s="7" t="s">
        <v>154</v>
      </c>
    </row>
    <row r="63" spans="1:11" s="6" customFormat="1" ht="10.199999999999999" customHeight="1">
      <c r="A63" s="11">
        <v>62</v>
      </c>
      <c r="B63" s="10">
        <v>46283.923946759256</v>
      </c>
      <c r="C63" s="9" t="s">
        <v>155</v>
      </c>
      <c r="D63" s="9" t="s">
        <v>40</v>
      </c>
      <c r="E63" s="9" t="s">
        <v>41</v>
      </c>
      <c r="F63" s="9" t="s">
        <v>14</v>
      </c>
      <c r="G63" s="9" t="s">
        <v>15</v>
      </c>
      <c r="H63" s="9" t="s">
        <v>16</v>
      </c>
      <c r="I63" s="8">
        <v>310</v>
      </c>
      <c r="J63" s="8"/>
      <c r="K63" s="7" t="s">
        <v>17</v>
      </c>
    </row>
    <row r="64" spans="1:11" s="6" customFormat="1" ht="10.199999999999999" customHeight="1">
      <c r="A64" s="11">
        <v>63</v>
      </c>
      <c r="B64" s="10">
        <v>46283.925335648149</v>
      </c>
      <c r="C64" s="9" t="s">
        <v>156</v>
      </c>
      <c r="D64" s="9" t="s">
        <v>40</v>
      </c>
      <c r="E64" s="9" t="s">
        <v>41</v>
      </c>
      <c r="F64" s="9" t="s">
        <v>14</v>
      </c>
      <c r="G64" s="9" t="s">
        <v>15</v>
      </c>
      <c r="H64" s="9" t="s">
        <v>16</v>
      </c>
      <c r="I64" s="8">
        <v>122</v>
      </c>
      <c r="J64" s="8"/>
      <c r="K64" s="7"/>
    </row>
    <row r="65" spans="1:11" s="6" customFormat="1" ht="10.199999999999999" customHeight="1">
      <c r="A65" s="11">
        <v>64</v>
      </c>
      <c r="B65" s="10">
        <v>46283.925393518519</v>
      </c>
      <c r="C65" s="9" t="s">
        <v>157</v>
      </c>
      <c r="D65" s="9" t="s">
        <v>40</v>
      </c>
      <c r="E65" s="9" t="s">
        <v>41</v>
      </c>
      <c r="F65" s="9" t="s">
        <v>14</v>
      </c>
      <c r="G65" s="9" t="s">
        <v>15</v>
      </c>
      <c r="H65" s="9" t="s">
        <v>16</v>
      </c>
      <c r="I65" s="8">
        <v>309</v>
      </c>
      <c r="J65" s="8"/>
      <c r="K65" s="7"/>
    </row>
    <row r="66" spans="1:11" s="12" customFormat="1" ht="10.199999999999999" customHeight="1">
      <c r="A66" s="17">
        <v>65</v>
      </c>
      <c r="B66" s="16">
        <v>46283.927499999998</v>
      </c>
      <c r="C66" s="15" t="s">
        <v>158</v>
      </c>
      <c r="D66" s="15" t="s">
        <v>94</v>
      </c>
      <c r="E66" s="15" t="s">
        <v>95</v>
      </c>
      <c r="F66" s="15" t="s">
        <v>14</v>
      </c>
      <c r="G66" s="15" t="s">
        <v>15</v>
      </c>
      <c r="H66" s="15" t="s">
        <v>16</v>
      </c>
      <c r="I66" s="14">
        <v>365</v>
      </c>
      <c r="J66" s="14"/>
      <c r="K66" s="13"/>
    </row>
    <row r="67" spans="1:11" s="12" customFormat="1" ht="10.199999999999999" customHeight="1">
      <c r="A67" s="17">
        <v>66</v>
      </c>
      <c r="B67" s="16">
        <v>46283.928495370368</v>
      </c>
      <c r="C67" s="15" t="s">
        <v>159</v>
      </c>
      <c r="D67" s="15" t="s">
        <v>40</v>
      </c>
      <c r="E67" s="15" t="s">
        <v>41</v>
      </c>
      <c r="F67" s="15" t="s">
        <v>14</v>
      </c>
      <c r="G67" s="15" t="s">
        <v>15</v>
      </c>
      <c r="H67" s="15" t="s">
        <v>16</v>
      </c>
      <c r="I67" s="26">
        <v>1414</v>
      </c>
      <c r="J67" s="14"/>
      <c r="K67" s="13" t="s">
        <v>160</v>
      </c>
    </row>
    <row r="68" spans="1:11" s="12" customFormat="1" ht="10.199999999999999" customHeight="1">
      <c r="A68" s="17">
        <v>67</v>
      </c>
      <c r="B68" s="16">
        <v>46283.928993055553</v>
      </c>
      <c r="C68" s="15" t="s">
        <v>161</v>
      </c>
      <c r="D68" s="15" t="s">
        <v>162</v>
      </c>
      <c r="E68" s="15" t="s">
        <v>163</v>
      </c>
      <c r="F68" s="15" t="s">
        <v>14</v>
      </c>
      <c r="G68" s="15" t="s">
        <v>15</v>
      </c>
      <c r="H68" s="28" t="s">
        <v>133</v>
      </c>
      <c r="I68" s="27">
        <v>370</v>
      </c>
      <c r="J68" s="27"/>
      <c r="K68" s="13" t="s">
        <v>164</v>
      </c>
    </row>
    <row r="69" spans="1:11" s="6" customFormat="1" ht="10.199999999999999" customHeight="1">
      <c r="A69" s="11">
        <v>68</v>
      </c>
      <c r="B69" s="10">
        <v>46283.930254629631</v>
      </c>
      <c r="C69" s="9" t="s">
        <v>165</v>
      </c>
      <c r="D69" s="9" t="s">
        <v>40</v>
      </c>
      <c r="E69" s="9" t="s">
        <v>41</v>
      </c>
      <c r="F69" s="9" t="s">
        <v>14</v>
      </c>
      <c r="G69" s="9" t="s">
        <v>15</v>
      </c>
      <c r="H69" s="9" t="s">
        <v>16</v>
      </c>
      <c r="I69" s="18">
        <v>1414</v>
      </c>
      <c r="J69" s="8"/>
      <c r="K69" s="7" t="s">
        <v>166</v>
      </c>
    </row>
    <row r="70" spans="1:11" s="12" customFormat="1" ht="10.199999999999999" customHeight="1">
      <c r="A70" s="17">
        <v>69</v>
      </c>
      <c r="B70" s="16">
        <v>46283.933449074073</v>
      </c>
      <c r="C70" s="15" t="s">
        <v>167</v>
      </c>
      <c r="D70" s="15" t="s">
        <v>40</v>
      </c>
      <c r="E70" s="15" t="s">
        <v>41</v>
      </c>
      <c r="F70" s="15" t="s">
        <v>14</v>
      </c>
      <c r="G70" s="15" t="s">
        <v>15</v>
      </c>
      <c r="H70" s="15" t="s">
        <v>16</v>
      </c>
      <c r="I70" s="14">
        <v>100</v>
      </c>
      <c r="J70" s="14"/>
      <c r="K70" s="13" t="s">
        <v>168</v>
      </c>
    </row>
    <row r="71" spans="1:11" s="6" customFormat="1" ht="10.199999999999999" customHeight="1">
      <c r="A71" s="11">
        <v>70</v>
      </c>
      <c r="B71" s="10">
        <v>46283.952511574076</v>
      </c>
      <c r="C71" s="9" t="s">
        <v>169</v>
      </c>
      <c r="D71" s="9" t="s">
        <v>170</v>
      </c>
      <c r="E71" s="9" t="s">
        <v>171</v>
      </c>
      <c r="F71" s="9" t="s">
        <v>14</v>
      </c>
      <c r="G71" s="9" t="s">
        <v>15</v>
      </c>
      <c r="H71" s="9" t="s">
        <v>16</v>
      </c>
      <c r="I71" s="8">
        <v>467</v>
      </c>
      <c r="J71" s="8"/>
      <c r="K71" s="7" t="s">
        <v>32</v>
      </c>
    </row>
    <row r="72" spans="1:11" s="6" customFormat="1" ht="10.199999999999999" customHeight="1">
      <c r="A72" s="11">
        <v>71</v>
      </c>
      <c r="B72" s="10">
        <v>46283.952800925923</v>
      </c>
      <c r="C72" s="9" t="s">
        <v>172</v>
      </c>
      <c r="D72" s="9" t="s">
        <v>170</v>
      </c>
      <c r="E72" s="9" t="s">
        <v>171</v>
      </c>
      <c r="F72" s="9" t="s">
        <v>14</v>
      </c>
      <c r="G72" s="9" t="s">
        <v>15</v>
      </c>
      <c r="H72" s="9" t="s">
        <v>16</v>
      </c>
      <c r="I72" s="8">
        <v>122</v>
      </c>
      <c r="J72" s="8"/>
      <c r="K72" s="7" t="s">
        <v>32</v>
      </c>
    </row>
    <row r="73" spans="1:11" s="6" customFormat="1" ht="10.199999999999999" customHeight="1">
      <c r="A73" s="11">
        <v>72</v>
      </c>
      <c r="B73" s="10">
        <v>46283.952881944446</v>
      </c>
      <c r="C73" s="9" t="s">
        <v>173</v>
      </c>
      <c r="D73" s="9" t="s">
        <v>170</v>
      </c>
      <c r="E73" s="9" t="s">
        <v>171</v>
      </c>
      <c r="F73" s="9" t="s">
        <v>14</v>
      </c>
      <c r="G73" s="9" t="s">
        <v>15</v>
      </c>
      <c r="H73" s="9" t="s">
        <v>16</v>
      </c>
      <c r="I73" s="8">
        <v>309</v>
      </c>
      <c r="J73" s="8"/>
      <c r="K73" s="7" t="s">
        <v>32</v>
      </c>
    </row>
    <row r="74" spans="1:11" s="6" customFormat="1" ht="10.199999999999999" customHeight="1">
      <c r="A74" s="11">
        <v>73</v>
      </c>
      <c r="B74" s="10">
        <v>46283.952962962961</v>
      </c>
      <c r="C74" s="9" t="s">
        <v>174</v>
      </c>
      <c r="D74" s="9" t="s">
        <v>170</v>
      </c>
      <c r="E74" s="9" t="s">
        <v>171</v>
      </c>
      <c r="F74" s="9" t="s">
        <v>14</v>
      </c>
      <c r="G74" s="9" t="s">
        <v>15</v>
      </c>
      <c r="H74" s="9" t="s">
        <v>16</v>
      </c>
      <c r="I74" s="8">
        <v>310</v>
      </c>
      <c r="J74" s="8"/>
      <c r="K74" s="7" t="s">
        <v>32</v>
      </c>
    </row>
    <row r="75" spans="1:11" s="12" customFormat="1" ht="10.199999999999999" customHeight="1">
      <c r="A75" s="17">
        <v>74</v>
      </c>
      <c r="B75" s="16">
        <v>46283.952986111108</v>
      </c>
      <c r="C75" s="15" t="s">
        <v>175</v>
      </c>
      <c r="D75" s="15" t="s">
        <v>176</v>
      </c>
      <c r="E75" s="15" t="s">
        <v>177</v>
      </c>
      <c r="F75" s="15" t="s">
        <v>14</v>
      </c>
      <c r="G75" s="15" t="s">
        <v>15</v>
      </c>
      <c r="H75" s="15" t="s">
        <v>16</v>
      </c>
      <c r="I75" s="26">
        <v>1014</v>
      </c>
      <c r="J75" s="14"/>
      <c r="K75" s="13" t="s">
        <v>178</v>
      </c>
    </row>
    <row r="76" spans="1:11" s="6" customFormat="1" ht="10.199999999999999" customHeight="1">
      <c r="A76" s="11">
        <v>75</v>
      </c>
      <c r="B76" s="10">
        <v>46283.95416666667</v>
      </c>
      <c r="C76" s="9" t="s">
        <v>179</v>
      </c>
      <c r="D76" s="9" t="s">
        <v>170</v>
      </c>
      <c r="E76" s="9" t="s">
        <v>171</v>
      </c>
      <c r="F76" s="9" t="s">
        <v>14</v>
      </c>
      <c r="G76" s="9" t="s">
        <v>15</v>
      </c>
      <c r="H76" s="9" t="s">
        <v>16</v>
      </c>
      <c r="I76" s="18">
        <v>1030</v>
      </c>
      <c r="J76" s="8"/>
      <c r="K76" s="7" t="s">
        <v>32</v>
      </c>
    </row>
    <row r="77" spans="1:11" s="6" customFormat="1" ht="10.199999999999999" customHeight="1">
      <c r="A77" s="11">
        <v>76</v>
      </c>
      <c r="B77" s="10">
        <v>46283.954837962963</v>
      </c>
      <c r="C77" s="9" t="s">
        <v>180</v>
      </c>
      <c r="D77" s="9" t="s">
        <v>170</v>
      </c>
      <c r="E77" s="9" t="s">
        <v>171</v>
      </c>
      <c r="F77" s="9" t="s">
        <v>14</v>
      </c>
      <c r="G77" s="9" t="s">
        <v>15</v>
      </c>
      <c r="H77" s="9" t="s">
        <v>16</v>
      </c>
      <c r="I77" s="8">
        <v>99</v>
      </c>
      <c r="J77" s="8"/>
      <c r="K77" s="7" t="s">
        <v>181</v>
      </c>
    </row>
    <row r="78" spans="1:11" s="6" customFormat="1" ht="10.199999999999999" customHeight="1">
      <c r="A78" s="11">
        <v>77</v>
      </c>
      <c r="B78" s="10">
        <v>46283.956203703703</v>
      </c>
      <c r="C78" s="9" t="s">
        <v>182</v>
      </c>
      <c r="D78" s="9" t="s">
        <v>170</v>
      </c>
      <c r="E78" s="9" t="s">
        <v>171</v>
      </c>
      <c r="F78" s="9" t="s">
        <v>14</v>
      </c>
      <c r="G78" s="9" t="s">
        <v>15</v>
      </c>
      <c r="H78" s="9" t="s">
        <v>16</v>
      </c>
      <c r="I78" s="8">
        <v>123</v>
      </c>
      <c r="J78" s="8"/>
      <c r="K78" s="7" t="s">
        <v>183</v>
      </c>
    </row>
    <row r="79" spans="1:11" s="12" customFormat="1" ht="10.199999999999999" customHeight="1">
      <c r="A79" s="17">
        <v>78</v>
      </c>
      <c r="B79" s="16">
        <v>46283.957395833335</v>
      </c>
      <c r="C79" s="15" t="s">
        <v>184</v>
      </c>
      <c r="D79" s="15" t="s">
        <v>40</v>
      </c>
      <c r="E79" s="15" t="s">
        <v>41</v>
      </c>
      <c r="F79" s="15" t="s">
        <v>14</v>
      </c>
      <c r="G79" s="15" t="s">
        <v>15</v>
      </c>
      <c r="H79" s="15" t="s">
        <v>16</v>
      </c>
      <c r="I79" s="26">
        <v>3000</v>
      </c>
      <c r="J79" s="14"/>
      <c r="K79" s="13" t="s">
        <v>185</v>
      </c>
    </row>
    <row r="80" spans="1:11" s="12" customFormat="1" ht="10.199999999999999" customHeight="1">
      <c r="A80" s="17">
        <v>79</v>
      </c>
      <c r="B80" s="16">
        <v>46283.960543981484</v>
      </c>
      <c r="C80" s="15" t="s">
        <v>186</v>
      </c>
      <c r="D80" s="15" t="s">
        <v>162</v>
      </c>
      <c r="E80" s="15" t="s">
        <v>163</v>
      </c>
      <c r="F80" s="15" t="s">
        <v>14</v>
      </c>
      <c r="G80" s="15" t="s">
        <v>15</v>
      </c>
      <c r="H80" s="28" t="s">
        <v>133</v>
      </c>
      <c r="I80" s="27">
        <v>170</v>
      </c>
      <c r="J80" s="27"/>
      <c r="K80" s="13" t="s">
        <v>187</v>
      </c>
    </row>
    <row r="81" spans="1:11" s="12" customFormat="1" ht="10.199999999999999" customHeight="1">
      <c r="A81" s="17">
        <v>80</v>
      </c>
      <c r="B81" s="16">
        <v>46283.963680555556</v>
      </c>
      <c r="C81" s="15" t="s">
        <v>188</v>
      </c>
      <c r="D81" s="15" t="s">
        <v>40</v>
      </c>
      <c r="E81" s="15" t="s">
        <v>41</v>
      </c>
      <c r="F81" s="15" t="s">
        <v>14</v>
      </c>
      <c r="G81" s="15" t="s">
        <v>15</v>
      </c>
      <c r="H81" s="15" t="s">
        <v>16</v>
      </c>
      <c r="I81" s="26">
        <v>10000</v>
      </c>
      <c r="J81" s="14"/>
      <c r="K81" s="13" t="s">
        <v>189</v>
      </c>
    </row>
    <row r="82" spans="1:11" s="6" customFormat="1" ht="10.199999999999999" customHeight="1">
      <c r="A82" s="11">
        <v>81</v>
      </c>
      <c r="B82" s="10">
        <v>46283.965266203704</v>
      </c>
      <c r="C82" s="9" t="s">
        <v>190</v>
      </c>
      <c r="D82" s="9" t="s">
        <v>170</v>
      </c>
      <c r="E82" s="9" t="s">
        <v>171</v>
      </c>
      <c r="F82" s="9" t="s">
        <v>14</v>
      </c>
      <c r="G82" s="9" t="s">
        <v>15</v>
      </c>
      <c r="H82" s="9" t="s">
        <v>16</v>
      </c>
      <c r="I82" s="18">
        <v>3000</v>
      </c>
      <c r="J82" s="8"/>
      <c r="K82" s="7" t="s">
        <v>191</v>
      </c>
    </row>
    <row r="83" spans="1:11" s="12" customFormat="1" ht="10.199999999999999" customHeight="1">
      <c r="A83" s="17">
        <v>82</v>
      </c>
      <c r="B83" s="16">
        <v>46283.966539351852</v>
      </c>
      <c r="C83" s="15" t="s">
        <v>192</v>
      </c>
      <c r="D83" s="15" t="s">
        <v>40</v>
      </c>
      <c r="E83" s="15" t="s">
        <v>41</v>
      </c>
      <c r="F83" s="15" t="s">
        <v>14</v>
      </c>
      <c r="G83" s="15" t="s">
        <v>15</v>
      </c>
      <c r="H83" s="15" t="s">
        <v>16</v>
      </c>
      <c r="I83" s="26">
        <v>10000</v>
      </c>
      <c r="J83" s="14"/>
      <c r="K83" s="13"/>
    </row>
    <row r="84" spans="1:11" s="12" customFormat="1" ht="10.199999999999999" customHeight="1">
      <c r="A84" s="17">
        <v>83</v>
      </c>
      <c r="B84" s="16">
        <v>46283.967476851853</v>
      </c>
      <c r="C84" s="15" t="s">
        <v>193</v>
      </c>
      <c r="D84" s="15" t="s">
        <v>40</v>
      </c>
      <c r="E84" s="15" t="s">
        <v>41</v>
      </c>
      <c r="F84" s="15" t="s">
        <v>14</v>
      </c>
      <c r="G84" s="15" t="s">
        <v>15</v>
      </c>
      <c r="H84" s="15" t="s">
        <v>16</v>
      </c>
      <c r="I84" s="26">
        <v>1472</v>
      </c>
      <c r="J84" s="14"/>
      <c r="K84" s="13" t="s">
        <v>194</v>
      </c>
    </row>
    <row r="85" spans="1:11" s="6" customFormat="1" ht="10.199999999999999" customHeight="1">
      <c r="A85" s="11">
        <v>84</v>
      </c>
      <c r="B85" s="10">
        <v>46283.971493055556</v>
      </c>
      <c r="C85" s="9" t="s">
        <v>195</v>
      </c>
      <c r="D85" s="9" t="s">
        <v>94</v>
      </c>
      <c r="E85" s="9" t="s">
        <v>95</v>
      </c>
      <c r="F85" s="9" t="s">
        <v>14</v>
      </c>
      <c r="G85" s="9" t="s">
        <v>15</v>
      </c>
      <c r="H85" s="9" t="s">
        <v>16</v>
      </c>
      <c r="I85" s="8">
        <v>191</v>
      </c>
      <c r="J85" s="8"/>
      <c r="K85" s="7" t="s">
        <v>196</v>
      </c>
    </row>
    <row r="86" spans="1:11" s="6" customFormat="1" ht="10.199999999999999" customHeight="1">
      <c r="A86" s="11">
        <v>85</v>
      </c>
      <c r="B86" s="10">
        <v>46283.971886574072</v>
      </c>
      <c r="C86" s="9" t="s">
        <v>197</v>
      </c>
      <c r="D86" s="9" t="s">
        <v>198</v>
      </c>
      <c r="E86" s="9" t="s">
        <v>199</v>
      </c>
      <c r="F86" s="9" t="s">
        <v>14</v>
      </c>
      <c r="G86" s="9" t="s">
        <v>15</v>
      </c>
      <c r="H86" s="9" t="s">
        <v>16</v>
      </c>
      <c r="I86" s="8">
        <v>191</v>
      </c>
      <c r="J86" s="8"/>
      <c r="K86" s="7" t="s">
        <v>200</v>
      </c>
    </row>
    <row r="87" spans="1:11" s="12" customFormat="1" ht="10.199999999999999" customHeight="1">
      <c r="A87" s="17">
        <v>86</v>
      </c>
      <c r="B87" s="16">
        <v>46283.972569444442</v>
      </c>
      <c r="C87" s="15" t="s">
        <v>201</v>
      </c>
      <c r="D87" s="15" t="s">
        <v>202</v>
      </c>
      <c r="E87" s="15" t="s">
        <v>203</v>
      </c>
      <c r="F87" s="15" t="s">
        <v>14</v>
      </c>
      <c r="G87" s="15" t="s">
        <v>15</v>
      </c>
      <c r="H87" s="15" t="s">
        <v>16</v>
      </c>
      <c r="I87" s="14">
        <v>33</v>
      </c>
      <c r="J87" s="14"/>
      <c r="K87" s="13" t="s">
        <v>204</v>
      </c>
    </row>
    <row r="88" spans="1:11" s="6" customFormat="1" ht="10.199999999999999" customHeight="1">
      <c r="A88" s="11">
        <v>87</v>
      </c>
      <c r="B88" s="10">
        <v>46283.972974537035</v>
      </c>
      <c r="C88" s="9" t="s">
        <v>205</v>
      </c>
      <c r="D88" s="9" t="s">
        <v>198</v>
      </c>
      <c r="E88" s="9" t="s">
        <v>199</v>
      </c>
      <c r="F88" s="9" t="s">
        <v>14</v>
      </c>
      <c r="G88" s="9" t="s">
        <v>15</v>
      </c>
      <c r="H88" s="9" t="s">
        <v>16</v>
      </c>
      <c r="I88" s="8">
        <v>382</v>
      </c>
      <c r="J88" s="8"/>
      <c r="K88" s="7" t="s">
        <v>206</v>
      </c>
    </row>
    <row r="89" spans="1:11" s="12" customFormat="1" ht="10.199999999999999" customHeight="1">
      <c r="A89" s="17">
        <v>88</v>
      </c>
      <c r="B89" s="16">
        <v>46283.973460648151</v>
      </c>
      <c r="C89" s="15" t="s">
        <v>207</v>
      </c>
      <c r="D89" s="15" t="s">
        <v>198</v>
      </c>
      <c r="E89" s="15" t="s">
        <v>199</v>
      </c>
      <c r="F89" s="15" t="s">
        <v>14</v>
      </c>
      <c r="G89" s="15" t="s">
        <v>15</v>
      </c>
      <c r="H89" s="15" t="s">
        <v>16</v>
      </c>
      <c r="I89" s="25">
        <v>2870</v>
      </c>
      <c r="J89" s="14"/>
      <c r="K89" s="13" t="s">
        <v>208</v>
      </c>
    </row>
    <row r="90" spans="1:11" s="12" customFormat="1" ht="10.199999999999999" customHeight="1">
      <c r="A90" s="17">
        <v>89</v>
      </c>
      <c r="B90" s="16">
        <v>46283.97420138889</v>
      </c>
      <c r="C90" s="15" t="s">
        <v>209</v>
      </c>
      <c r="D90" s="15" t="s">
        <v>202</v>
      </c>
      <c r="E90" s="15" t="s">
        <v>203</v>
      </c>
      <c r="F90" s="15" t="s">
        <v>14</v>
      </c>
      <c r="G90" s="15" t="s">
        <v>15</v>
      </c>
      <c r="H90" s="15" t="s">
        <v>16</v>
      </c>
      <c r="I90" s="14">
        <v>500</v>
      </c>
      <c r="J90" s="14"/>
      <c r="K90" s="13" t="s">
        <v>178</v>
      </c>
    </row>
    <row r="91" spans="1:11" s="6" customFormat="1" ht="10.199999999999999" customHeight="1">
      <c r="A91" s="11">
        <v>90</v>
      </c>
      <c r="B91" s="10">
        <v>46283.975243055553</v>
      </c>
      <c r="C91" s="9" t="s">
        <v>210</v>
      </c>
      <c r="D91" s="9" t="s">
        <v>198</v>
      </c>
      <c r="E91" s="9" t="s">
        <v>199</v>
      </c>
      <c r="F91" s="9" t="s">
        <v>14</v>
      </c>
      <c r="G91" s="9" t="s">
        <v>15</v>
      </c>
      <c r="H91" s="9" t="s">
        <v>16</v>
      </c>
      <c r="I91" s="8">
        <v>467</v>
      </c>
      <c r="J91" s="8"/>
      <c r="K91" s="7" t="s">
        <v>17</v>
      </c>
    </row>
    <row r="92" spans="1:11" s="6" customFormat="1" ht="10.199999999999999" customHeight="1">
      <c r="A92" s="11">
        <v>91</v>
      </c>
      <c r="B92" s="10">
        <v>46283.975543981483</v>
      </c>
      <c r="C92" s="9" t="s">
        <v>211</v>
      </c>
      <c r="D92" s="9" t="s">
        <v>40</v>
      </c>
      <c r="E92" s="9" t="s">
        <v>41</v>
      </c>
      <c r="F92" s="9" t="s">
        <v>14</v>
      </c>
      <c r="G92" s="9" t="s">
        <v>15</v>
      </c>
      <c r="H92" s="9" t="s">
        <v>16</v>
      </c>
      <c r="I92" s="18">
        <v>3000</v>
      </c>
      <c r="J92" s="8"/>
      <c r="K92" s="7" t="s">
        <v>17</v>
      </c>
    </row>
    <row r="93" spans="1:11" s="12" customFormat="1" ht="10.199999999999999" customHeight="1">
      <c r="A93" s="17">
        <v>92</v>
      </c>
      <c r="B93" s="16">
        <v>46283.97587962963</v>
      </c>
      <c r="C93" s="15" t="s">
        <v>212</v>
      </c>
      <c r="D93" s="15" t="s">
        <v>198</v>
      </c>
      <c r="E93" s="15" t="s">
        <v>199</v>
      </c>
      <c r="F93" s="15" t="s">
        <v>14</v>
      </c>
      <c r="G93" s="15" t="s">
        <v>15</v>
      </c>
      <c r="H93" s="15" t="s">
        <v>16</v>
      </c>
      <c r="I93" s="14">
        <v>365</v>
      </c>
      <c r="J93" s="14"/>
      <c r="K93" s="13" t="s">
        <v>178</v>
      </c>
    </row>
    <row r="94" spans="1:11" s="12" customFormat="1" ht="10.199999999999999" customHeight="1">
      <c r="A94" s="17">
        <v>93</v>
      </c>
      <c r="B94" s="16">
        <v>46283.976585648146</v>
      </c>
      <c r="C94" s="15" t="s">
        <v>213</v>
      </c>
      <c r="D94" s="15" t="s">
        <v>40</v>
      </c>
      <c r="E94" s="15" t="s">
        <v>41</v>
      </c>
      <c r="F94" s="15" t="s">
        <v>14</v>
      </c>
      <c r="G94" s="15" t="s">
        <v>15</v>
      </c>
      <c r="H94" s="15" t="s">
        <v>16</v>
      </c>
      <c r="I94" s="26">
        <v>3000</v>
      </c>
      <c r="J94" s="14"/>
      <c r="K94" s="13" t="s">
        <v>178</v>
      </c>
    </row>
    <row r="95" spans="1:11" s="6" customFormat="1" ht="10.199999999999999" customHeight="1">
      <c r="A95" s="11">
        <v>94</v>
      </c>
      <c r="B95" s="10">
        <v>46283.9768287037</v>
      </c>
      <c r="C95" s="9" t="s">
        <v>214</v>
      </c>
      <c r="D95" s="9" t="s">
        <v>198</v>
      </c>
      <c r="E95" s="9" t="s">
        <v>199</v>
      </c>
      <c r="F95" s="9" t="s">
        <v>14</v>
      </c>
      <c r="G95" s="9" t="s">
        <v>15</v>
      </c>
      <c r="H95" s="9" t="s">
        <v>16</v>
      </c>
      <c r="I95" s="8">
        <v>99</v>
      </c>
      <c r="J95" s="8"/>
      <c r="K95" s="7" t="s">
        <v>17</v>
      </c>
    </row>
    <row r="96" spans="1:11" s="12" customFormat="1" ht="10.199999999999999" customHeight="1">
      <c r="A96" s="17">
        <v>95</v>
      </c>
      <c r="B96" s="16">
        <v>46283.976898148147</v>
      </c>
      <c r="C96" s="15" t="s">
        <v>215</v>
      </c>
      <c r="D96" s="15" t="s">
        <v>198</v>
      </c>
      <c r="E96" s="15" t="s">
        <v>199</v>
      </c>
      <c r="F96" s="15" t="s">
        <v>14</v>
      </c>
      <c r="G96" s="15" t="s">
        <v>15</v>
      </c>
      <c r="H96" s="15" t="s">
        <v>16</v>
      </c>
      <c r="I96" s="14">
        <v>99</v>
      </c>
      <c r="J96" s="14"/>
      <c r="K96" s="13" t="s">
        <v>178</v>
      </c>
    </row>
    <row r="97" spans="1:11" s="12" customFormat="1" ht="10.199999999999999" customHeight="1">
      <c r="A97" s="17">
        <v>96</v>
      </c>
      <c r="B97" s="16">
        <v>46283.978425925925</v>
      </c>
      <c r="C97" s="15" t="s">
        <v>216</v>
      </c>
      <c r="D97" s="15" t="s">
        <v>94</v>
      </c>
      <c r="E97" s="15" t="s">
        <v>95</v>
      </c>
      <c r="F97" s="15" t="s">
        <v>14</v>
      </c>
      <c r="G97" s="15" t="s">
        <v>15</v>
      </c>
      <c r="H97" s="15" t="s">
        <v>16</v>
      </c>
      <c r="I97" s="26">
        <v>1058</v>
      </c>
      <c r="J97" s="14"/>
      <c r="K97" s="13" t="s">
        <v>217</v>
      </c>
    </row>
    <row r="98" spans="1:11" s="6" customFormat="1" ht="10.199999999999999" customHeight="1">
      <c r="A98" s="11">
        <v>97</v>
      </c>
      <c r="B98" s="10">
        <v>46283.978993055556</v>
      </c>
      <c r="C98" s="9" t="s">
        <v>218</v>
      </c>
      <c r="D98" s="9" t="s">
        <v>94</v>
      </c>
      <c r="E98" s="9" t="s">
        <v>95</v>
      </c>
      <c r="F98" s="9" t="s">
        <v>14</v>
      </c>
      <c r="G98" s="9" t="s">
        <v>15</v>
      </c>
      <c r="H98" s="9" t="s">
        <v>16</v>
      </c>
      <c r="I98" s="18">
        <v>1034</v>
      </c>
      <c r="J98" s="8"/>
      <c r="K98" s="7" t="s">
        <v>136</v>
      </c>
    </row>
    <row r="99" spans="1:11" s="12" customFormat="1" ht="10.199999999999999" customHeight="1">
      <c r="A99" s="17">
        <v>98</v>
      </c>
      <c r="B99" s="16">
        <v>46283.980115740742</v>
      </c>
      <c r="C99" s="15" t="s">
        <v>219</v>
      </c>
      <c r="D99" s="15" t="s">
        <v>202</v>
      </c>
      <c r="E99" s="15" t="s">
        <v>203</v>
      </c>
      <c r="F99" s="15" t="s">
        <v>14</v>
      </c>
      <c r="G99" s="15" t="s">
        <v>15</v>
      </c>
      <c r="H99" s="15" t="s">
        <v>16</v>
      </c>
      <c r="I99" s="14">
        <v>10</v>
      </c>
      <c r="J99" s="14"/>
      <c r="K99" s="13" t="s">
        <v>220</v>
      </c>
    </row>
    <row r="100" spans="1:11" s="6" customFormat="1" ht="10.199999999999999" customHeight="1">
      <c r="A100" s="11">
        <v>99</v>
      </c>
      <c r="B100" s="10">
        <v>46283.980219907404</v>
      </c>
      <c r="C100" s="9" t="s">
        <v>221</v>
      </c>
      <c r="D100" s="9" t="s">
        <v>222</v>
      </c>
      <c r="E100" s="9" t="s">
        <v>223</v>
      </c>
      <c r="F100" s="9" t="s">
        <v>14</v>
      </c>
      <c r="G100" s="9" t="s">
        <v>15</v>
      </c>
      <c r="H100" s="9" t="s">
        <v>16</v>
      </c>
      <c r="I100" s="18">
        <v>1041</v>
      </c>
      <c r="J100" s="8"/>
      <c r="K100" s="7" t="s">
        <v>224</v>
      </c>
    </row>
    <row r="101" spans="1:11" s="6" customFormat="1" ht="10.199999999999999" customHeight="1">
      <c r="A101" s="11">
        <v>100</v>
      </c>
      <c r="B101" s="10">
        <v>46283.980995370373</v>
      </c>
      <c r="C101" s="9" t="s">
        <v>225</v>
      </c>
      <c r="D101" s="9" t="s">
        <v>222</v>
      </c>
      <c r="E101" s="9" t="s">
        <v>223</v>
      </c>
      <c r="F101" s="9" t="s">
        <v>14</v>
      </c>
      <c r="G101" s="9" t="s">
        <v>15</v>
      </c>
      <c r="H101" s="9" t="s">
        <v>16</v>
      </c>
      <c r="I101" s="18">
        <v>1041</v>
      </c>
      <c r="J101" s="8"/>
      <c r="K101" s="7" t="s">
        <v>224</v>
      </c>
    </row>
    <row r="102" spans="1:11" s="6" customFormat="1" ht="10.199999999999999" customHeight="1">
      <c r="A102" s="11">
        <v>101</v>
      </c>
      <c r="B102" s="10">
        <v>46283.981736111113</v>
      </c>
      <c r="C102" s="9" t="s">
        <v>226</v>
      </c>
      <c r="D102" s="9" t="s">
        <v>222</v>
      </c>
      <c r="E102" s="9" t="s">
        <v>223</v>
      </c>
      <c r="F102" s="9" t="s">
        <v>14</v>
      </c>
      <c r="G102" s="9" t="s">
        <v>15</v>
      </c>
      <c r="H102" s="9" t="s">
        <v>16</v>
      </c>
      <c r="I102" s="18">
        <v>1077</v>
      </c>
      <c r="J102" s="8"/>
      <c r="K102" s="7"/>
    </row>
    <row r="103" spans="1:11" s="6" customFormat="1" ht="10.199999999999999" customHeight="1">
      <c r="A103" s="11">
        <v>102</v>
      </c>
      <c r="B103" s="10">
        <v>46283.981770833336</v>
      </c>
      <c r="C103" s="9" t="s">
        <v>227</v>
      </c>
      <c r="D103" s="9" t="s">
        <v>222</v>
      </c>
      <c r="E103" s="9" t="s">
        <v>223</v>
      </c>
      <c r="F103" s="9" t="s">
        <v>14</v>
      </c>
      <c r="G103" s="9" t="s">
        <v>15</v>
      </c>
      <c r="H103" s="9" t="s">
        <v>16</v>
      </c>
      <c r="I103" s="18">
        <v>1077</v>
      </c>
      <c r="J103" s="8"/>
      <c r="K103" s="7" t="s">
        <v>228</v>
      </c>
    </row>
    <row r="104" spans="1:11" s="6" customFormat="1" ht="10.199999999999999" customHeight="1">
      <c r="A104" s="11">
        <v>103</v>
      </c>
      <c r="B104" s="10">
        <v>46283.982881944445</v>
      </c>
      <c r="C104" s="9" t="s">
        <v>229</v>
      </c>
      <c r="D104" s="9" t="s">
        <v>222</v>
      </c>
      <c r="E104" s="9" t="s">
        <v>223</v>
      </c>
      <c r="F104" s="9" t="s">
        <v>14</v>
      </c>
      <c r="G104" s="9" t="s">
        <v>15</v>
      </c>
      <c r="H104" s="9" t="s">
        <v>16</v>
      </c>
      <c r="I104" s="18">
        <v>1030</v>
      </c>
      <c r="J104" s="8"/>
      <c r="K104" s="7"/>
    </row>
    <row r="105" spans="1:11" s="6" customFormat="1" ht="10.199999999999999" customHeight="1">
      <c r="A105" s="11">
        <v>104</v>
      </c>
      <c r="B105" s="10">
        <v>46283.982916666668</v>
      </c>
      <c r="C105" s="9" t="s">
        <v>230</v>
      </c>
      <c r="D105" s="9" t="s">
        <v>222</v>
      </c>
      <c r="E105" s="9" t="s">
        <v>223</v>
      </c>
      <c r="F105" s="9" t="s">
        <v>14</v>
      </c>
      <c r="G105" s="9" t="s">
        <v>15</v>
      </c>
      <c r="H105" s="9" t="s">
        <v>16</v>
      </c>
      <c r="I105" s="18">
        <v>1030</v>
      </c>
      <c r="J105" s="8"/>
      <c r="K105" s="7" t="s">
        <v>231</v>
      </c>
    </row>
    <row r="106" spans="1:11" s="12" customFormat="1" ht="10.199999999999999" customHeight="1">
      <c r="A106" s="17">
        <v>105</v>
      </c>
      <c r="B106" s="16">
        <v>46283.982939814814</v>
      </c>
      <c r="C106" s="15" t="s">
        <v>232</v>
      </c>
      <c r="D106" s="15" t="s">
        <v>48</v>
      </c>
      <c r="E106" s="15" t="s">
        <v>49</v>
      </c>
      <c r="F106" s="15" t="s">
        <v>14</v>
      </c>
      <c r="G106" s="15" t="s">
        <v>15</v>
      </c>
      <c r="H106" s="15" t="s">
        <v>16</v>
      </c>
      <c r="I106" s="14">
        <v>10</v>
      </c>
      <c r="J106" s="14"/>
      <c r="K106" s="13" t="s">
        <v>233</v>
      </c>
    </row>
    <row r="107" spans="1:11" s="40" customFormat="1" ht="10.199999999999999" customHeight="1">
      <c r="A107" s="35">
        <v>106</v>
      </c>
      <c r="B107" s="36">
        <v>46283.984131944446</v>
      </c>
      <c r="C107" s="37" t="s">
        <v>234</v>
      </c>
      <c r="D107" s="37" t="s">
        <v>48</v>
      </c>
      <c r="E107" s="37" t="s">
        <v>49</v>
      </c>
      <c r="F107" s="37" t="s">
        <v>14</v>
      </c>
      <c r="G107" s="37" t="s">
        <v>15</v>
      </c>
      <c r="H107" s="37" t="s">
        <v>16</v>
      </c>
      <c r="I107" s="38">
        <v>10</v>
      </c>
      <c r="J107" s="38"/>
      <c r="K107" s="39" t="s">
        <v>235</v>
      </c>
    </row>
    <row r="108" spans="1:11" s="6" customFormat="1" ht="10.199999999999999" customHeight="1">
      <c r="A108" s="11">
        <v>107</v>
      </c>
      <c r="B108" s="10">
        <v>46283.984201388892</v>
      </c>
      <c r="C108" s="9" t="s">
        <v>236</v>
      </c>
      <c r="D108" s="9" t="s">
        <v>222</v>
      </c>
      <c r="E108" s="9" t="s">
        <v>223</v>
      </c>
      <c r="F108" s="9" t="s">
        <v>14</v>
      </c>
      <c r="G108" s="9" t="s">
        <v>15</v>
      </c>
      <c r="H108" s="9" t="s">
        <v>16</v>
      </c>
      <c r="I108" s="18">
        <v>1041</v>
      </c>
      <c r="J108" s="8"/>
      <c r="K108" s="7"/>
    </row>
    <row r="109" spans="1:11" s="6" customFormat="1" ht="10.199999999999999" customHeight="1">
      <c r="A109" s="11">
        <v>108</v>
      </c>
      <c r="B109" s="10">
        <v>46283.984236111108</v>
      </c>
      <c r="C109" s="9" t="s">
        <v>237</v>
      </c>
      <c r="D109" s="9" t="s">
        <v>222</v>
      </c>
      <c r="E109" s="9" t="s">
        <v>223</v>
      </c>
      <c r="F109" s="9" t="s">
        <v>14</v>
      </c>
      <c r="G109" s="9" t="s">
        <v>15</v>
      </c>
      <c r="H109" s="9" t="s">
        <v>16</v>
      </c>
      <c r="I109" s="18">
        <v>1041</v>
      </c>
      <c r="J109" s="8"/>
      <c r="K109" s="7"/>
    </row>
    <row r="110" spans="1:11" s="6" customFormat="1" ht="10.199999999999999" customHeight="1">
      <c r="A110" s="11">
        <v>109</v>
      </c>
      <c r="B110" s="10">
        <v>46283.985613425924</v>
      </c>
      <c r="C110" s="9" t="s">
        <v>238</v>
      </c>
      <c r="D110" s="9" t="s">
        <v>222</v>
      </c>
      <c r="E110" s="9" t="s">
        <v>223</v>
      </c>
      <c r="F110" s="9" t="s">
        <v>14</v>
      </c>
      <c r="G110" s="9" t="s">
        <v>15</v>
      </c>
      <c r="H110" s="9" t="s">
        <v>16</v>
      </c>
      <c r="I110" s="18">
        <v>1058</v>
      </c>
      <c r="J110" s="8"/>
      <c r="K110" s="7"/>
    </row>
    <row r="111" spans="1:11" s="6" customFormat="1" ht="10.199999999999999" customHeight="1">
      <c r="A111" s="11">
        <v>110</v>
      </c>
      <c r="B111" s="10">
        <v>46283.985648148147</v>
      </c>
      <c r="C111" s="9" t="s">
        <v>239</v>
      </c>
      <c r="D111" s="9" t="s">
        <v>222</v>
      </c>
      <c r="E111" s="9" t="s">
        <v>223</v>
      </c>
      <c r="F111" s="9" t="s">
        <v>14</v>
      </c>
      <c r="G111" s="9" t="s">
        <v>15</v>
      </c>
      <c r="H111" s="9" t="s">
        <v>16</v>
      </c>
      <c r="I111" s="18">
        <v>1058</v>
      </c>
      <c r="J111" s="8"/>
      <c r="K111" s="7" t="s">
        <v>240</v>
      </c>
    </row>
    <row r="112" spans="1:11" s="40" customFormat="1" ht="10.199999999999999" customHeight="1">
      <c r="A112" s="35">
        <v>111</v>
      </c>
      <c r="B112" s="36">
        <v>46283.987858796296</v>
      </c>
      <c r="C112" s="37" t="s">
        <v>241</v>
      </c>
      <c r="D112" s="37" t="s">
        <v>48</v>
      </c>
      <c r="E112" s="37" t="s">
        <v>49</v>
      </c>
      <c r="F112" s="37" t="s">
        <v>14</v>
      </c>
      <c r="G112" s="37" t="s">
        <v>15</v>
      </c>
      <c r="H112" s="37" t="s">
        <v>16</v>
      </c>
      <c r="I112" s="38">
        <v>10</v>
      </c>
      <c r="J112" s="38"/>
      <c r="K112" s="39" t="s">
        <v>242</v>
      </c>
    </row>
    <row r="113" spans="1:11" s="12" customFormat="1" ht="10.199999999999999" customHeight="1">
      <c r="A113" s="17">
        <v>112</v>
      </c>
      <c r="B113" s="16">
        <v>46283.987928240742</v>
      </c>
      <c r="C113" s="15" t="s">
        <v>243</v>
      </c>
      <c r="D113" s="15" t="s">
        <v>40</v>
      </c>
      <c r="E113" s="15" t="s">
        <v>41</v>
      </c>
      <c r="F113" s="15" t="s">
        <v>14</v>
      </c>
      <c r="G113" s="15" t="s">
        <v>15</v>
      </c>
      <c r="H113" s="15" t="s">
        <v>16</v>
      </c>
      <c r="I113" s="26">
        <v>1033</v>
      </c>
      <c r="J113" s="14"/>
      <c r="K113" s="13" t="s">
        <v>244</v>
      </c>
    </row>
    <row r="114" spans="1:11" s="40" customFormat="1" ht="10.199999999999999" customHeight="1">
      <c r="A114" s="35">
        <v>113</v>
      </c>
      <c r="B114" s="36">
        <v>46283.988182870373</v>
      </c>
      <c r="C114" s="37" t="s">
        <v>245</v>
      </c>
      <c r="D114" s="37" t="s">
        <v>48</v>
      </c>
      <c r="E114" s="37" t="s">
        <v>49</v>
      </c>
      <c r="F114" s="37" t="s">
        <v>14</v>
      </c>
      <c r="G114" s="37" t="s">
        <v>15</v>
      </c>
      <c r="H114" s="37" t="s">
        <v>16</v>
      </c>
      <c r="I114" s="38">
        <v>10</v>
      </c>
      <c r="J114" s="38"/>
      <c r="K114" s="39" t="s">
        <v>246</v>
      </c>
    </row>
    <row r="115" spans="1:11" s="12" customFormat="1" ht="10.199999999999999" customHeight="1">
      <c r="A115" s="17">
        <v>114</v>
      </c>
      <c r="B115" s="16">
        <v>46283.98846064815</v>
      </c>
      <c r="C115" s="15" t="s">
        <v>247</v>
      </c>
      <c r="D115" s="15" t="s">
        <v>40</v>
      </c>
      <c r="E115" s="15" t="s">
        <v>41</v>
      </c>
      <c r="F115" s="15" t="s">
        <v>14</v>
      </c>
      <c r="G115" s="15" t="s">
        <v>15</v>
      </c>
      <c r="H115" s="15" t="s">
        <v>16</v>
      </c>
      <c r="I115" s="26">
        <v>1041</v>
      </c>
      <c r="J115" s="14"/>
      <c r="K115" s="13"/>
    </row>
    <row r="116" spans="1:11" s="6" customFormat="1" ht="10.199999999999999" customHeight="1">
      <c r="A116" s="11">
        <v>115</v>
      </c>
      <c r="B116" s="10">
        <v>46283.989884259259</v>
      </c>
      <c r="C116" s="9" t="s">
        <v>248</v>
      </c>
      <c r="D116" s="9" t="s">
        <v>198</v>
      </c>
      <c r="E116" s="9" t="s">
        <v>199</v>
      </c>
      <c r="F116" s="9" t="s">
        <v>14</v>
      </c>
      <c r="G116" s="9" t="s">
        <v>15</v>
      </c>
      <c r="H116" s="9" t="s">
        <v>16</v>
      </c>
      <c r="I116" s="8">
        <v>467</v>
      </c>
      <c r="J116" s="8"/>
      <c r="K116" s="7" t="s">
        <v>32</v>
      </c>
    </row>
    <row r="117" spans="1:11" s="6" customFormat="1" ht="10.199999999999999" customHeight="1">
      <c r="A117" s="11">
        <v>116</v>
      </c>
      <c r="B117" s="10">
        <v>46283.990289351852</v>
      </c>
      <c r="C117" s="9" t="s">
        <v>249</v>
      </c>
      <c r="D117" s="9" t="s">
        <v>198</v>
      </c>
      <c r="E117" s="9" t="s">
        <v>199</v>
      </c>
      <c r="F117" s="9" t="s">
        <v>14</v>
      </c>
      <c r="G117" s="9" t="s">
        <v>15</v>
      </c>
      <c r="H117" s="9" t="s">
        <v>16</v>
      </c>
      <c r="I117" s="18">
        <v>1041</v>
      </c>
      <c r="J117" s="8"/>
      <c r="K117" s="7" t="s">
        <v>250</v>
      </c>
    </row>
    <row r="118" spans="1:11" s="6" customFormat="1" ht="10.199999999999999" customHeight="1">
      <c r="A118" s="11">
        <v>117</v>
      </c>
      <c r="B118" s="10">
        <v>46283.990671296298</v>
      </c>
      <c r="C118" s="9" t="s">
        <v>251</v>
      </c>
      <c r="D118" s="9" t="s">
        <v>198</v>
      </c>
      <c r="E118" s="9" t="s">
        <v>199</v>
      </c>
      <c r="F118" s="9" t="s">
        <v>14</v>
      </c>
      <c r="G118" s="9" t="s">
        <v>15</v>
      </c>
      <c r="H118" s="9" t="s">
        <v>16</v>
      </c>
      <c r="I118" s="18">
        <v>1030</v>
      </c>
      <c r="J118" s="8"/>
      <c r="K118" s="7" t="s">
        <v>252</v>
      </c>
    </row>
    <row r="119" spans="1:11" s="12" customFormat="1" ht="10.199999999999999" customHeight="1">
      <c r="A119" s="17">
        <v>118</v>
      </c>
      <c r="B119" s="16">
        <v>46283.992060185185</v>
      </c>
      <c r="C119" s="15" t="s">
        <v>253</v>
      </c>
      <c r="D119" s="15" t="s">
        <v>30</v>
      </c>
      <c r="E119" s="15" t="s">
        <v>31</v>
      </c>
      <c r="F119" s="15" t="s">
        <v>14</v>
      </c>
      <c r="G119" s="15" t="s">
        <v>15</v>
      </c>
      <c r="H119" s="15" t="s">
        <v>16</v>
      </c>
      <c r="I119" s="14">
        <v>10</v>
      </c>
      <c r="J119" s="14"/>
      <c r="K119" s="13" t="s">
        <v>254</v>
      </c>
    </row>
    <row r="120" spans="1:11" s="40" customFormat="1" ht="10.199999999999999" customHeight="1">
      <c r="A120" s="35">
        <v>119</v>
      </c>
      <c r="B120" s="36">
        <v>46283.992569444446</v>
      </c>
      <c r="C120" s="37" t="s">
        <v>255</v>
      </c>
      <c r="D120" s="37" t="s">
        <v>48</v>
      </c>
      <c r="E120" s="37" t="s">
        <v>49</v>
      </c>
      <c r="F120" s="37" t="s">
        <v>14</v>
      </c>
      <c r="G120" s="37" t="s">
        <v>15</v>
      </c>
      <c r="H120" s="37" t="s">
        <v>16</v>
      </c>
      <c r="I120" s="38">
        <v>10</v>
      </c>
      <c r="J120" s="38"/>
      <c r="K120" s="39" t="s">
        <v>256</v>
      </c>
    </row>
    <row r="121" spans="1:11" s="40" customFormat="1" ht="10.199999999999999" customHeight="1">
      <c r="A121" s="35">
        <v>120</v>
      </c>
      <c r="B121" s="36">
        <v>46283.992696759262</v>
      </c>
      <c r="C121" s="37" t="s">
        <v>257</v>
      </c>
      <c r="D121" s="37" t="s">
        <v>48</v>
      </c>
      <c r="E121" s="37" t="s">
        <v>49</v>
      </c>
      <c r="F121" s="37" t="s">
        <v>14</v>
      </c>
      <c r="G121" s="37" t="s">
        <v>15</v>
      </c>
      <c r="H121" s="37" t="s">
        <v>16</v>
      </c>
      <c r="I121" s="38">
        <v>10</v>
      </c>
      <c r="J121" s="38"/>
      <c r="K121" s="39" t="s">
        <v>258</v>
      </c>
    </row>
    <row r="122" spans="1:11" s="40" customFormat="1" ht="10.199999999999999" customHeight="1">
      <c r="A122" s="35">
        <v>121</v>
      </c>
      <c r="B122" s="36">
        <v>46283.993298611109</v>
      </c>
      <c r="C122" s="37" t="s">
        <v>259</v>
      </c>
      <c r="D122" s="37" t="s">
        <v>48</v>
      </c>
      <c r="E122" s="37" t="s">
        <v>49</v>
      </c>
      <c r="F122" s="37" t="s">
        <v>14</v>
      </c>
      <c r="G122" s="37" t="s">
        <v>15</v>
      </c>
      <c r="H122" s="37" t="s">
        <v>16</v>
      </c>
      <c r="I122" s="38">
        <v>10</v>
      </c>
      <c r="J122" s="38"/>
      <c r="K122" s="39" t="s">
        <v>260</v>
      </c>
    </row>
    <row r="123" spans="1:11" s="40" customFormat="1" ht="10.199999999999999" customHeight="1">
      <c r="A123" s="35">
        <v>122</v>
      </c>
      <c r="B123" s="36">
        <v>46283.993437500001</v>
      </c>
      <c r="C123" s="37" t="s">
        <v>261</v>
      </c>
      <c r="D123" s="37" t="s">
        <v>48</v>
      </c>
      <c r="E123" s="37" t="s">
        <v>49</v>
      </c>
      <c r="F123" s="37" t="s">
        <v>14</v>
      </c>
      <c r="G123" s="37" t="s">
        <v>15</v>
      </c>
      <c r="H123" s="37" t="s">
        <v>16</v>
      </c>
      <c r="I123" s="38">
        <v>10</v>
      </c>
      <c r="J123" s="38"/>
      <c r="K123" s="39" t="s">
        <v>262</v>
      </c>
    </row>
    <row r="124" spans="1:11" s="40" customFormat="1" ht="10.199999999999999" customHeight="1">
      <c r="A124" s="35">
        <v>123</v>
      </c>
      <c r="B124" s="36">
        <v>46283.993923611109</v>
      </c>
      <c r="C124" s="37" t="s">
        <v>263</v>
      </c>
      <c r="D124" s="37" t="s">
        <v>48</v>
      </c>
      <c r="E124" s="37" t="s">
        <v>49</v>
      </c>
      <c r="F124" s="37" t="s">
        <v>14</v>
      </c>
      <c r="G124" s="37" t="s">
        <v>15</v>
      </c>
      <c r="H124" s="37" t="s">
        <v>16</v>
      </c>
      <c r="I124" s="38">
        <v>30</v>
      </c>
      <c r="J124" s="38"/>
      <c r="K124" s="39" t="s">
        <v>264</v>
      </c>
    </row>
    <row r="125" spans="1:11" s="40" customFormat="1" ht="10.199999999999999" customHeight="1">
      <c r="A125" s="35">
        <v>124</v>
      </c>
      <c r="B125" s="36">
        <v>46283.993935185186</v>
      </c>
      <c r="C125" s="37" t="s">
        <v>265</v>
      </c>
      <c r="D125" s="37" t="s">
        <v>198</v>
      </c>
      <c r="E125" s="37" t="s">
        <v>199</v>
      </c>
      <c r="F125" s="37" t="s">
        <v>14</v>
      </c>
      <c r="G125" s="37" t="s">
        <v>15</v>
      </c>
      <c r="H125" s="37" t="s">
        <v>16</v>
      </c>
      <c r="I125" s="38">
        <v>10</v>
      </c>
      <c r="J125" s="38"/>
      <c r="K125" s="39" t="s">
        <v>266</v>
      </c>
    </row>
    <row r="126" spans="1:11" s="40" customFormat="1" ht="10.199999999999999" customHeight="1">
      <c r="A126" s="35">
        <v>125</v>
      </c>
      <c r="B126" s="36">
        <v>46283.994062500002</v>
      </c>
      <c r="C126" s="37" t="s">
        <v>267</v>
      </c>
      <c r="D126" s="37" t="s">
        <v>198</v>
      </c>
      <c r="E126" s="37" t="s">
        <v>199</v>
      </c>
      <c r="F126" s="37" t="s">
        <v>14</v>
      </c>
      <c r="G126" s="37" t="s">
        <v>15</v>
      </c>
      <c r="H126" s="37" t="s">
        <v>16</v>
      </c>
      <c r="I126" s="38">
        <v>10</v>
      </c>
      <c r="J126" s="38"/>
      <c r="K126" s="39" t="s">
        <v>27</v>
      </c>
    </row>
    <row r="127" spans="1:11" s="40" customFormat="1" ht="10.199999999999999" customHeight="1">
      <c r="A127" s="35">
        <v>126</v>
      </c>
      <c r="B127" s="36">
        <v>46283.994108796294</v>
      </c>
      <c r="C127" s="37" t="s">
        <v>268</v>
      </c>
      <c r="D127" s="37" t="s">
        <v>30</v>
      </c>
      <c r="E127" s="37" t="s">
        <v>31</v>
      </c>
      <c r="F127" s="37" t="s">
        <v>14</v>
      </c>
      <c r="G127" s="37" t="s">
        <v>15</v>
      </c>
      <c r="H127" s="37" t="s">
        <v>16</v>
      </c>
      <c r="I127" s="38">
        <v>10</v>
      </c>
      <c r="J127" s="38"/>
      <c r="K127" s="39" t="s">
        <v>269</v>
      </c>
    </row>
    <row r="128" spans="1:11" s="40" customFormat="1" ht="10.199999999999999" customHeight="1">
      <c r="A128" s="35">
        <v>127</v>
      </c>
      <c r="B128" s="36">
        <v>46283.994155092594</v>
      </c>
      <c r="C128" s="37" t="s">
        <v>270</v>
      </c>
      <c r="D128" s="37" t="s">
        <v>198</v>
      </c>
      <c r="E128" s="37" t="s">
        <v>199</v>
      </c>
      <c r="F128" s="37" t="s">
        <v>14</v>
      </c>
      <c r="G128" s="37" t="s">
        <v>15</v>
      </c>
      <c r="H128" s="37" t="s">
        <v>16</v>
      </c>
      <c r="I128" s="38">
        <v>10</v>
      </c>
      <c r="J128" s="38"/>
      <c r="K128" s="39" t="s">
        <v>27</v>
      </c>
    </row>
    <row r="129" spans="1:11" s="40" customFormat="1" ht="10.199999999999999" customHeight="1">
      <c r="A129" s="35">
        <v>128</v>
      </c>
      <c r="B129" s="36">
        <v>46283.99417824074</v>
      </c>
      <c r="C129" s="37" t="s">
        <v>271</v>
      </c>
      <c r="D129" s="37" t="s">
        <v>48</v>
      </c>
      <c r="E129" s="37" t="s">
        <v>49</v>
      </c>
      <c r="F129" s="37" t="s">
        <v>14</v>
      </c>
      <c r="G129" s="37" t="s">
        <v>15</v>
      </c>
      <c r="H129" s="37" t="s">
        <v>16</v>
      </c>
      <c r="I129" s="38">
        <v>10</v>
      </c>
      <c r="J129" s="38"/>
      <c r="K129" s="39" t="s">
        <v>98</v>
      </c>
    </row>
    <row r="130" spans="1:11" s="40" customFormat="1" ht="10.199999999999999" customHeight="1">
      <c r="A130" s="35">
        <v>129</v>
      </c>
      <c r="B130" s="36">
        <v>46283.994259259256</v>
      </c>
      <c r="C130" s="37" t="s">
        <v>272</v>
      </c>
      <c r="D130" s="37" t="s">
        <v>198</v>
      </c>
      <c r="E130" s="37" t="s">
        <v>199</v>
      </c>
      <c r="F130" s="37" t="s">
        <v>14</v>
      </c>
      <c r="G130" s="37" t="s">
        <v>15</v>
      </c>
      <c r="H130" s="37" t="s">
        <v>16</v>
      </c>
      <c r="I130" s="38">
        <v>10</v>
      </c>
      <c r="J130" s="38"/>
      <c r="K130" s="39" t="s">
        <v>27</v>
      </c>
    </row>
    <row r="131" spans="1:11" s="12" customFormat="1" ht="10.199999999999999" customHeight="1">
      <c r="A131" s="17">
        <v>130</v>
      </c>
      <c r="B131" s="16">
        <v>46283.994629629633</v>
      </c>
      <c r="C131" s="15" t="s">
        <v>273</v>
      </c>
      <c r="D131" s="15" t="s">
        <v>30</v>
      </c>
      <c r="E131" s="15" t="s">
        <v>31</v>
      </c>
      <c r="F131" s="15" t="s">
        <v>14</v>
      </c>
      <c r="G131" s="15" t="s">
        <v>15</v>
      </c>
      <c r="H131" s="15" t="s">
        <v>16</v>
      </c>
      <c r="I131" s="14">
        <v>10</v>
      </c>
      <c r="J131" s="14"/>
      <c r="K131" s="13" t="s">
        <v>274</v>
      </c>
    </row>
    <row r="132" spans="1:11" s="12" customFormat="1" ht="10.199999999999999" customHeight="1">
      <c r="A132" s="17">
        <v>131</v>
      </c>
      <c r="B132" s="16">
        <v>46283.995520833334</v>
      </c>
      <c r="C132" s="15" t="s">
        <v>275</v>
      </c>
      <c r="D132" s="15" t="s">
        <v>40</v>
      </c>
      <c r="E132" s="15" t="s">
        <v>41</v>
      </c>
      <c r="F132" s="15" t="s">
        <v>14</v>
      </c>
      <c r="G132" s="15" t="s">
        <v>15</v>
      </c>
      <c r="H132" s="15" t="s">
        <v>16</v>
      </c>
      <c r="I132" s="26">
        <v>1030</v>
      </c>
      <c r="J132" s="14"/>
      <c r="K132" s="13" t="s">
        <v>276</v>
      </c>
    </row>
    <row r="133" spans="1:11" s="40" customFormat="1" ht="10.199999999999999" customHeight="1">
      <c r="A133" s="35">
        <v>132</v>
      </c>
      <c r="B133" s="36">
        <v>46283.996782407405</v>
      </c>
      <c r="C133" s="37" t="s">
        <v>277</v>
      </c>
      <c r="D133" s="37" t="s">
        <v>48</v>
      </c>
      <c r="E133" s="37" t="s">
        <v>49</v>
      </c>
      <c r="F133" s="37" t="s">
        <v>14</v>
      </c>
      <c r="G133" s="37" t="s">
        <v>15</v>
      </c>
      <c r="H133" s="37" t="s">
        <v>16</v>
      </c>
      <c r="I133" s="38">
        <v>248</v>
      </c>
      <c r="J133" s="38"/>
      <c r="K133" s="39" t="s">
        <v>278</v>
      </c>
    </row>
    <row r="134" spans="1:11" s="6" customFormat="1" ht="10.199999999999999" customHeight="1">
      <c r="A134" s="11">
        <v>133</v>
      </c>
      <c r="B134" s="10">
        <v>46283.99726851852</v>
      </c>
      <c r="C134" s="9" t="s">
        <v>279</v>
      </c>
      <c r="D134" s="9" t="s">
        <v>48</v>
      </c>
      <c r="E134" s="9" t="s">
        <v>49</v>
      </c>
      <c r="F134" s="9" t="s">
        <v>14</v>
      </c>
      <c r="G134" s="9" t="s">
        <v>15</v>
      </c>
      <c r="H134" s="9" t="s">
        <v>16</v>
      </c>
      <c r="I134" s="8">
        <v>248</v>
      </c>
      <c r="J134" s="8"/>
      <c r="K134" s="7" t="s">
        <v>280</v>
      </c>
    </row>
    <row r="135" spans="1:11" s="12" customFormat="1" ht="10.199999999999999" customHeight="1">
      <c r="A135" s="17">
        <v>134</v>
      </c>
      <c r="B135" s="16">
        <v>46284.00440972222</v>
      </c>
      <c r="C135" s="15" t="s">
        <v>281</v>
      </c>
      <c r="D135" s="15" t="s">
        <v>40</v>
      </c>
      <c r="E135" s="15" t="s">
        <v>41</v>
      </c>
      <c r="F135" s="15" t="s">
        <v>14</v>
      </c>
      <c r="G135" s="15" t="s">
        <v>15</v>
      </c>
      <c r="H135" s="15" t="s">
        <v>16</v>
      </c>
      <c r="I135" s="14">
        <v>342</v>
      </c>
      <c r="J135" s="14"/>
      <c r="K135" s="13"/>
    </row>
    <row r="136" spans="1:11" s="12" customFormat="1" ht="10.199999999999999" customHeight="1">
      <c r="A136" s="17">
        <v>135</v>
      </c>
      <c r="B136" s="16">
        <v>46284.005972222221</v>
      </c>
      <c r="C136" s="15" t="s">
        <v>282</v>
      </c>
      <c r="D136" s="15" t="s">
        <v>40</v>
      </c>
      <c r="E136" s="15" t="s">
        <v>41</v>
      </c>
      <c r="F136" s="15" t="s">
        <v>14</v>
      </c>
      <c r="G136" s="15" t="s">
        <v>15</v>
      </c>
      <c r="H136" s="15" t="s">
        <v>16</v>
      </c>
      <c r="I136" s="14">
        <v>600</v>
      </c>
      <c r="J136" s="14"/>
      <c r="K136" s="13" t="s">
        <v>283</v>
      </c>
    </row>
    <row r="137" spans="1:11" s="12" customFormat="1" ht="10.199999999999999" customHeight="1">
      <c r="A137" s="17">
        <v>136</v>
      </c>
      <c r="B137" s="16">
        <v>46284.006296296298</v>
      </c>
      <c r="C137" s="15" t="s">
        <v>284</v>
      </c>
      <c r="D137" s="15" t="s">
        <v>40</v>
      </c>
      <c r="E137" s="15" t="s">
        <v>41</v>
      </c>
      <c r="F137" s="15" t="s">
        <v>14</v>
      </c>
      <c r="G137" s="15" t="s">
        <v>15</v>
      </c>
      <c r="H137" s="15" t="s">
        <v>16</v>
      </c>
      <c r="I137" s="14">
        <v>100</v>
      </c>
      <c r="J137" s="14"/>
      <c r="K137" s="13" t="s">
        <v>285</v>
      </c>
    </row>
    <row r="138" spans="1:11" s="12" customFormat="1" ht="10.199999999999999" customHeight="1">
      <c r="A138" s="17">
        <v>137</v>
      </c>
      <c r="B138" s="16">
        <v>46284.009120370371</v>
      </c>
      <c r="C138" s="15" t="s">
        <v>286</v>
      </c>
      <c r="D138" s="15" t="s">
        <v>40</v>
      </c>
      <c r="E138" s="15" t="s">
        <v>41</v>
      </c>
      <c r="F138" s="15" t="s">
        <v>14</v>
      </c>
      <c r="G138" s="15" t="s">
        <v>15</v>
      </c>
      <c r="H138" s="15" t="s">
        <v>16</v>
      </c>
      <c r="I138" s="26">
        <v>10000</v>
      </c>
      <c r="J138" s="14"/>
      <c r="K138" s="13" t="s">
        <v>287</v>
      </c>
    </row>
    <row r="139" spans="1:11" s="12" customFormat="1" ht="10.199999999999999" customHeight="1">
      <c r="A139" s="17">
        <v>138</v>
      </c>
      <c r="B139" s="16">
        <v>46284.011423611111</v>
      </c>
      <c r="C139" s="15" t="s">
        <v>288</v>
      </c>
      <c r="D139" s="15" t="s">
        <v>94</v>
      </c>
      <c r="E139" s="15" t="s">
        <v>95</v>
      </c>
      <c r="F139" s="15" t="s">
        <v>14</v>
      </c>
      <c r="G139" s="15" t="s">
        <v>15</v>
      </c>
      <c r="H139" s="15" t="s">
        <v>16</v>
      </c>
      <c r="I139" s="26">
        <v>1077</v>
      </c>
      <c r="J139" s="14"/>
      <c r="K139" s="13" t="s">
        <v>14</v>
      </c>
    </row>
    <row r="140" spans="1:11" s="6" customFormat="1" ht="10.199999999999999" customHeight="1">
      <c r="A140" s="11">
        <v>139</v>
      </c>
      <c r="B140" s="10">
        <v>46284.011620370373</v>
      </c>
      <c r="C140" s="9" t="s">
        <v>289</v>
      </c>
      <c r="D140" s="9" t="s">
        <v>222</v>
      </c>
      <c r="E140" s="9" t="s">
        <v>223</v>
      </c>
      <c r="F140" s="9" t="s">
        <v>14</v>
      </c>
      <c r="G140" s="9" t="s">
        <v>15</v>
      </c>
      <c r="H140" s="9" t="s">
        <v>16</v>
      </c>
      <c r="I140" s="18">
        <v>1041</v>
      </c>
      <c r="J140" s="8"/>
      <c r="K140" s="7"/>
    </row>
    <row r="141" spans="1:11" s="6" customFormat="1" ht="10.199999999999999" customHeight="1">
      <c r="A141" s="11">
        <v>140</v>
      </c>
      <c r="B141" s="10">
        <v>46284.011655092596</v>
      </c>
      <c r="C141" s="9" t="s">
        <v>290</v>
      </c>
      <c r="D141" s="9" t="s">
        <v>222</v>
      </c>
      <c r="E141" s="9" t="s">
        <v>223</v>
      </c>
      <c r="F141" s="9" t="s">
        <v>14</v>
      </c>
      <c r="G141" s="9" t="s">
        <v>15</v>
      </c>
      <c r="H141" s="9" t="s">
        <v>16</v>
      </c>
      <c r="I141" s="18">
        <v>1041</v>
      </c>
      <c r="J141" s="8"/>
      <c r="K141" s="7" t="s">
        <v>291</v>
      </c>
    </row>
    <row r="142" spans="1:11" s="6" customFormat="1" ht="10.199999999999999" customHeight="1">
      <c r="A142" s="11">
        <v>141</v>
      </c>
      <c r="B142" s="10">
        <v>46284.014293981483</v>
      </c>
      <c r="C142" s="9" t="s">
        <v>292</v>
      </c>
      <c r="D142" s="9" t="s">
        <v>94</v>
      </c>
      <c r="E142" s="9" t="s">
        <v>95</v>
      </c>
      <c r="F142" s="9" t="s">
        <v>14</v>
      </c>
      <c r="G142" s="9" t="s">
        <v>15</v>
      </c>
      <c r="H142" s="9" t="s">
        <v>16</v>
      </c>
      <c r="I142" s="8">
        <v>191</v>
      </c>
      <c r="J142" s="8"/>
      <c r="K142" s="7" t="s">
        <v>293</v>
      </c>
    </row>
    <row r="143" spans="1:11" s="12" customFormat="1" ht="10.199999999999999" customHeight="1">
      <c r="A143" s="17">
        <v>142</v>
      </c>
      <c r="B143" s="16">
        <v>46284.017280092594</v>
      </c>
      <c r="C143" s="15" t="s">
        <v>294</v>
      </c>
      <c r="D143" s="15" t="s">
        <v>295</v>
      </c>
      <c r="E143" s="15" t="s">
        <v>296</v>
      </c>
      <c r="F143" s="15" t="s">
        <v>14</v>
      </c>
      <c r="G143" s="15" t="s">
        <v>15</v>
      </c>
      <c r="H143" s="15" t="s">
        <v>16</v>
      </c>
      <c r="I143" s="25">
        <v>2870</v>
      </c>
      <c r="J143" s="14"/>
      <c r="K143" s="13" t="s">
        <v>297</v>
      </c>
    </row>
    <row r="144" spans="1:11" s="6" customFormat="1" ht="10.199999999999999" customHeight="1">
      <c r="A144" s="11">
        <v>143</v>
      </c>
      <c r="B144" s="10">
        <v>46284.018483796295</v>
      </c>
      <c r="C144" s="9" t="s">
        <v>298</v>
      </c>
      <c r="D144" s="9" t="s">
        <v>222</v>
      </c>
      <c r="E144" s="9" t="s">
        <v>223</v>
      </c>
      <c r="F144" s="9" t="s">
        <v>14</v>
      </c>
      <c r="G144" s="9" t="s">
        <v>15</v>
      </c>
      <c r="H144" s="9" t="s">
        <v>16</v>
      </c>
      <c r="I144" s="8">
        <v>467</v>
      </c>
      <c r="J144" s="8"/>
      <c r="K144" s="7" t="s">
        <v>299</v>
      </c>
    </row>
    <row r="145" spans="1:11" s="6" customFormat="1" ht="10.199999999999999" customHeight="1">
      <c r="A145" s="11">
        <v>144</v>
      </c>
      <c r="B145" s="10">
        <v>46284.018726851849</v>
      </c>
      <c r="C145" s="9" t="s">
        <v>300</v>
      </c>
      <c r="D145" s="9" t="s">
        <v>222</v>
      </c>
      <c r="E145" s="9" t="s">
        <v>223</v>
      </c>
      <c r="F145" s="9" t="s">
        <v>14</v>
      </c>
      <c r="G145" s="9" t="s">
        <v>15</v>
      </c>
      <c r="H145" s="9" t="s">
        <v>16</v>
      </c>
      <c r="I145" s="8">
        <v>467</v>
      </c>
      <c r="J145" s="8"/>
      <c r="K145" s="7"/>
    </row>
    <row r="146" spans="1:11" s="6" customFormat="1" ht="10.199999999999999" customHeight="1">
      <c r="A146" s="11">
        <v>145</v>
      </c>
      <c r="B146" s="10">
        <v>46284.022268518522</v>
      </c>
      <c r="C146" s="9" t="s">
        <v>301</v>
      </c>
      <c r="D146" s="9" t="s">
        <v>222</v>
      </c>
      <c r="E146" s="9" t="s">
        <v>223</v>
      </c>
      <c r="F146" s="9" t="s">
        <v>14</v>
      </c>
      <c r="G146" s="9" t="s">
        <v>15</v>
      </c>
      <c r="H146" s="9" t="s">
        <v>16</v>
      </c>
      <c r="I146" s="18">
        <v>1041</v>
      </c>
      <c r="J146" s="8"/>
      <c r="K146" s="7"/>
    </row>
    <row r="147" spans="1:11" s="6" customFormat="1" ht="10.199999999999999" customHeight="1">
      <c r="A147" s="11">
        <v>146</v>
      </c>
      <c r="B147" s="10">
        <v>46284.022326388891</v>
      </c>
      <c r="C147" s="9" t="s">
        <v>302</v>
      </c>
      <c r="D147" s="9" t="s">
        <v>222</v>
      </c>
      <c r="E147" s="9" t="s">
        <v>223</v>
      </c>
      <c r="F147" s="9" t="s">
        <v>14</v>
      </c>
      <c r="G147" s="9" t="s">
        <v>15</v>
      </c>
      <c r="H147" s="9" t="s">
        <v>16</v>
      </c>
      <c r="I147" s="18">
        <v>1041</v>
      </c>
      <c r="J147" s="8"/>
      <c r="K147" s="7"/>
    </row>
    <row r="148" spans="1:11" s="6" customFormat="1" ht="10.199999999999999" customHeight="1">
      <c r="A148" s="11">
        <v>147</v>
      </c>
      <c r="B148" s="10">
        <v>46284.024768518517</v>
      </c>
      <c r="C148" s="9" t="s">
        <v>303</v>
      </c>
      <c r="D148" s="9" t="s">
        <v>304</v>
      </c>
      <c r="E148" s="9" t="s">
        <v>305</v>
      </c>
      <c r="F148" s="9" t="s">
        <v>14</v>
      </c>
      <c r="G148" s="9" t="s">
        <v>15</v>
      </c>
      <c r="H148" s="9" t="s">
        <v>16</v>
      </c>
      <c r="I148" s="18">
        <v>1277</v>
      </c>
      <c r="J148" s="8"/>
      <c r="K148" s="7" t="s">
        <v>17</v>
      </c>
    </row>
    <row r="149" spans="1:11" s="6" customFormat="1" ht="10.199999999999999" customHeight="1">
      <c r="A149" s="11">
        <v>148</v>
      </c>
      <c r="B149" s="10">
        <v>46284.026863425926</v>
      </c>
      <c r="C149" s="9" t="s">
        <v>306</v>
      </c>
      <c r="D149" s="9" t="s">
        <v>304</v>
      </c>
      <c r="E149" s="9" t="s">
        <v>305</v>
      </c>
      <c r="F149" s="9" t="s">
        <v>14</v>
      </c>
      <c r="G149" s="9" t="s">
        <v>15</v>
      </c>
      <c r="H149" s="9" t="s">
        <v>16</v>
      </c>
      <c r="I149" s="18">
        <v>1000</v>
      </c>
      <c r="J149" s="8"/>
      <c r="K149" s="7" t="s">
        <v>307</v>
      </c>
    </row>
    <row r="150" spans="1:11" s="6" customFormat="1" ht="10.199999999999999" customHeight="1">
      <c r="A150" s="11">
        <v>149</v>
      </c>
      <c r="B150" s="10">
        <v>46284.029236111113</v>
      </c>
      <c r="C150" s="9" t="s">
        <v>308</v>
      </c>
      <c r="D150" s="9" t="s">
        <v>112</v>
      </c>
      <c r="E150" s="9" t="s">
        <v>113</v>
      </c>
      <c r="F150" s="9" t="s">
        <v>14</v>
      </c>
      <c r="G150" s="9" t="s">
        <v>15</v>
      </c>
      <c r="H150" s="9" t="s">
        <v>16</v>
      </c>
      <c r="I150" s="8">
        <v>100</v>
      </c>
      <c r="J150" s="8"/>
      <c r="K150" s="7" t="s">
        <v>309</v>
      </c>
    </row>
    <row r="151" spans="1:11" s="12" customFormat="1" ht="10.199999999999999" customHeight="1">
      <c r="A151" s="17">
        <v>150</v>
      </c>
      <c r="B151" s="16">
        <v>46284.030393518522</v>
      </c>
      <c r="C151" s="15" t="s">
        <v>310</v>
      </c>
      <c r="D151" s="15" t="s">
        <v>295</v>
      </c>
      <c r="E151" s="15" t="s">
        <v>296</v>
      </c>
      <c r="F151" s="15" t="s">
        <v>14</v>
      </c>
      <c r="G151" s="15" t="s">
        <v>15</v>
      </c>
      <c r="H151" s="15" t="s">
        <v>16</v>
      </c>
      <c r="I151" s="14">
        <v>126</v>
      </c>
      <c r="J151" s="14"/>
      <c r="K151" s="13" t="s">
        <v>311</v>
      </c>
    </row>
    <row r="152" spans="1:11" s="6" customFormat="1" ht="10.199999999999999" customHeight="1">
      <c r="A152" s="11">
        <v>151</v>
      </c>
      <c r="B152" s="10">
        <v>46284.031539351854</v>
      </c>
      <c r="C152" s="9" t="s">
        <v>312</v>
      </c>
      <c r="D152" s="9" t="s">
        <v>313</v>
      </c>
      <c r="E152" s="9" t="s">
        <v>314</v>
      </c>
      <c r="F152" s="9" t="s">
        <v>14</v>
      </c>
      <c r="G152" s="9" t="s">
        <v>15</v>
      </c>
      <c r="H152" s="9" t="s">
        <v>16</v>
      </c>
      <c r="I152" s="18">
        <v>1054</v>
      </c>
      <c r="J152" s="8"/>
      <c r="K152" s="7" t="s">
        <v>315</v>
      </c>
    </row>
    <row r="153" spans="1:11" s="6" customFormat="1" ht="10.199999999999999" customHeight="1">
      <c r="A153" s="11">
        <v>152</v>
      </c>
      <c r="B153" s="10">
        <v>46284.034641203703</v>
      </c>
      <c r="C153" s="9" t="s">
        <v>316</v>
      </c>
      <c r="D153" s="9" t="s">
        <v>313</v>
      </c>
      <c r="E153" s="9" t="s">
        <v>314</v>
      </c>
      <c r="F153" s="9" t="s">
        <v>14</v>
      </c>
      <c r="G153" s="9" t="s">
        <v>15</v>
      </c>
      <c r="H153" s="9" t="s">
        <v>16</v>
      </c>
      <c r="I153" s="18">
        <v>1444</v>
      </c>
      <c r="J153" s="8"/>
      <c r="K153" s="7" t="s">
        <v>317</v>
      </c>
    </row>
    <row r="154" spans="1:11" s="6" customFormat="1" ht="10.199999999999999" customHeight="1">
      <c r="A154" s="11">
        <v>153</v>
      </c>
      <c r="B154" s="10">
        <v>46284.036527777775</v>
      </c>
      <c r="C154" s="9" t="s">
        <v>318</v>
      </c>
      <c r="D154" s="9" t="s">
        <v>313</v>
      </c>
      <c r="E154" s="9" t="s">
        <v>314</v>
      </c>
      <c r="F154" s="9" t="s">
        <v>14</v>
      </c>
      <c r="G154" s="9" t="s">
        <v>15</v>
      </c>
      <c r="H154" s="9" t="s">
        <v>16</v>
      </c>
      <c r="I154" s="18">
        <v>1782</v>
      </c>
      <c r="J154" s="8"/>
      <c r="K154" s="7" t="s">
        <v>319</v>
      </c>
    </row>
    <row r="155" spans="1:11" s="6" customFormat="1" ht="10.199999999999999" customHeight="1">
      <c r="A155" s="11">
        <v>154</v>
      </c>
      <c r="B155" s="10">
        <v>46284.038564814815</v>
      </c>
      <c r="C155" s="9" t="s">
        <v>320</v>
      </c>
      <c r="D155" s="9" t="s">
        <v>313</v>
      </c>
      <c r="E155" s="9" t="s">
        <v>314</v>
      </c>
      <c r="F155" s="9" t="s">
        <v>14</v>
      </c>
      <c r="G155" s="9" t="s">
        <v>15</v>
      </c>
      <c r="H155" s="9" t="s">
        <v>16</v>
      </c>
      <c r="I155" s="18">
        <v>1064</v>
      </c>
      <c r="J155" s="8"/>
      <c r="K155" s="7"/>
    </row>
    <row r="156" spans="1:11" s="6" customFormat="1" ht="10.199999999999999" customHeight="1">
      <c r="A156" s="11">
        <v>155</v>
      </c>
      <c r="B156" s="10">
        <v>46284.040729166663</v>
      </c>
      <c r="C156" s="9" t="s">
        <v>321</v>
      </c>
      <c r="D156" s="9" t="s">
        <v>313</v>
      </c>
      <c r="E156" s="9" t="s">
        <v>314</v>
      </c>
      <c r="F156" s="9" t="s">
        <v>14</v>
      </c>
      <c r="G156" s="9" t="s">
        <v>15</v>
      </c>
      <c r="H156" s="9" t="s">
        <v>16</v>
      </c>
      <c r="I156" s="18">
        <v>1222</v>
      </c>
      <c r="J156" s="8"/>
      <c r="K156" s="7"/>
    </row>
    <row r="157" spans="1:11" s="6" customFormat="1" ht="10.199999999999999" customHeight="1">
      <c r="A157" s="11">
        <v>156</v>
      </c>
      <c r="B157" s="10">
        <v>46284.04310185185</v>
      </c>
      <c r="C157" s="9" t="s">
        <v>322</v>
      </c>
      <c r="D157" s="9" t="s">
        <v>313</v>
      </c>
      <c r="E157" s="9" t="s">
        <v>314</v>
      </c>
      <c r="F157" s="9" t="s">
        <v>14</v>
      </c>
      <c r="G157" s="9" t="s">
        <v>15</v>
      </c>
      <c r="H157" s="9" t="s">
        <v>16</v>
      </c>
      <c r="I157" s="18">
        <v>1521</v>
      </c>
      <c r="J157" s="8"/>
      <c r="K157" s="7"/>
    </row>
    <row r="158" spans="1:11" s="6" customFormat="1" ht="10.199999999999999" customHeight="1">
      <c r="A158" s="11">
        <v>157</v>
      </c>
      <c r="B158" s="10">
        <v>46284.044548611113</v>
      </c>
      <c r="C158" s="9" t="s">
        <v>323</v>
      </c>
      <c r="D158" s="9" t="s">
        <v>324</v>
      </c>
      <c r="E158" s="9" t="s">
        <v>325</v>
      </c>
      <c r="F158" s="9" t="s">
        <v>14</v>
      </c>
      <c r="G158" s="9" t="s">
        <v>15</v>
      </c>
      <c r="H158" s="9" t="s">
        <v>16</v>
      </c>
      <c r="I158" s="8">
        <v>477</v>
      </c>
      <c r="J158" s="8"/>
      <c r="K158" s="7" t="s">
        <v>326</v>
      </c>
    </row>
    <row r="159" spans="1:11" s="6" customFormat="1" ht="10.199999999999999" customHeight="1">
      <c r="A159" s="11">
        <v>158</v>
      </c>
      <c r="B159" s="10">
        <v>46284.045335648145</v>
      </c>
      <c r="C159" s="9" t="s">
        <v>327</v>
      </c>
      <c r="D159" s="9" t="s">
        <v>324</v>
      </c>
      <c r="E159" s="9" t="s">
        <v>325</v>
      </c>
      <c r="F159" s="9" t="s">
        <v>14</v>
      </c>
      <c r="G159" s="9" t="s">
        <v>15</v>
      </c>
      <c r="H159" s="9" t="s">
        <v>16</v>
      </c>
      <c r="I159" s="8">
        <v>477</v>
      </c>
      <c r="J159" s="8"/>
      <c r="K159" s="7" t="s">
        <v>328</v>
      </c>
    </row>
    <row r="160" spans="1:11" s="6" customFormat="1" ht="10.199999999999999" customHeight="1">
      <c r="A160" s="11">
        <v>159</v>
      </c>
      <c r="B160" s="10">
        <v>46284.047754629632</v>
      </c>
      <c r="C160" s="9" t="s">
        <v>329</v>
      </c>
      <c r="D160" s="9" t="s">
        <v>313</v>
      </c>
      <c r="E160" s="9" t="s">
        <v>314</v>
      </c>
      <c r="F160" s="9" t="s">
        <v>14</v>
      </c>
      <c r="G160" s="9" t="s">
        <v>15</v>
      </c>
      <c r="H160" s="9" t="s">
        <v>16</v>
      </c>
      <c r="I160" s="18">
        <v>1390</v>
      </c>
      <c r="J160" s="8"/>
      <c r="K160" s="7" t="s">
        <v>330</v>
      </c>
    </row>
    <row r="161" spans="1:11" s="6" customFormat="1" ht="10.199999999999999" customHeight="1">
      <c r="A161" s="11">
        <v>160</v>
      </c>
      <c r="B161" s="10">
        <v>46284.049756944441</v>
      </c>
      <c r="C161" s="9" t="s">
        <v>331</v>
      </c>
      <c r="D161" s="9" t="s">
        <v>332</v>
      </c>
      <c r="E161" s="9" t="s">
        <v>333</v>
      </c>
      <c r="F161" s="9" t="s">
        <v>14</v>
      </c>
      <c r="G161" s="9" t="s">
        <v>15</v>
      </c>
      <c r="H161" s="9" t="s">
        <v>16</v>
      </c>
      <c r="I161" s="8">
        <v>467</v>
      </c>
      <c r="J161" s="8"/>
      <c r="K161" s="7" t="s">
        <v>17</v>
      </c>
    </row>
    <row r="162" spans="1:11" s="12" customFormat="1" ht="10.199999999999999" customHeight="1">
      <c r="A162" s="17">
        <v>161</v>
      </c>
      <c r="B162" s="16">
        <v>46284.050509259258</v>
      </c>
      <c r="C162" s="15" t="s">
        <v>334</v>
      </c>
      <c r="D162" s="15" t="s">
        <v>332</v>
      </c>
      <c r="E162" s="15" t="s">
        <v>333</v>
      </c>
      <c r="F162" s="15" t="s">
        <v>14</v>
      </c>
      <c r="G162" s="15" t="s">
        <v>15</v>
      </c>
      <c r="H162" s="15" t="s">
        <v>16</v>
      </c>
      <c r="I162" s="14">
        <v>365</v>
      </c>
      <c r="J162" s="14"/>
      <c r="K162" s="13" t="s">
        <v>14</v>
      </c>
    </row>
    <row r="163" spans="1:11" s="6" customFormat="1" ht="10.199999999999999" customHeight="1">
      <c r="A163" s="11">
        <v>162</v>
      </c>
      <c r="B163" s="10">
        <v>46284.05096064815</v>
      </c>
      <c r="C163" s="9" t="s">
        <v>335</v>
      </c>
      <c r="D163" s="9" t="s">
        <v>332</v>
      </c>
      <c r="E163" s="9" t="s">
        <v>333</v>
      </c>
      <c r="F163" s="9" t="s">
        <v>14</v>
      </c>
      <c r="G163" s="9" t="s">
        <v>15</v>
      </c>
      <c r="H163" s="9" t="s">
        <v>16</v>
      </c>
      <c r="I163" s="8">
        <v>121</v>
      </c>
      <c r="J163" s="8"/>
      <c r="K163" s="7" t="s">
        <v>17</v>
      </c>
    </row>
    <row r="164" spans="1:11" s="12" customFormat="1" ht="10.199999999999999" customHeight="1">
      <c r="A164" s="17">
        <v>163</v>
      </c>
      <c r="B164" s="16">
        <v>46284.052245370367</v>
      </c>
      <c r="C164" s="15" t="s">
        <v>336</v>
      </c>
      <c r="D164" s="15" t="s">
        <v>332</v>
      </c>
      <c r="E164" s="15" t="s">
        <v>333</v>
      </c>
      <c r="F164" s="15" t="s">
        <v>14</v>
      </c>
      <c r="G164" s="15" t="s">
        <v>15</v>
      </c>
      <c r="H164" s="15" t="s">
        <v>16</v>
      </c>
      <c r="I164" s="14">
        <v>183</v>
      </c>
      <c r="J164" s="14"/>
      <c r="K164" s="13" t="s">
        <v>14</v>
      </c>
    </row>
    <row r="165" spans="1:11" s="6" customFormat="1" ht="10.199999999999999" customHeight="1">
      <c r="A165" s="11">
        <v>164</v>
      </c>
      <c r="B165" s="10">
        <v>46284.052754629629</v>
      </c>
      <c r="C165" s="9" t="s">
        <v>337</v>
      </c>
      <c r="D165" s="9" t="s">
        <v>324</v>
      </c>
      <c r="E165" s="9" t="s">
        <v>325</v>
      </c>
      <c r="F165" s="9" t="s">
        <v>14</v>
      </c>
      <c r="G165" s="9" t="s">
        <v>15</v>
      </c>
      <c r="H165" s="9" t="s">
        <v>16</v>
      </c>
      <c r="I165" s="8">
        <v>266</v>
      </c>
      <c r="J165" s="8"/>
      <c r="K165" s="7" t="s">
        <v>328</v>
      </c>
    </row>
    <row r="166" spans="1:11" s="12" customFormat="1" ht="10.199999999999999" customHeight="1">
      <c r="A166" s="17">
        <v>165</v>
      </c>
      <c r="B166" s="16">
        <v>46284.053182870368</v>
      </c>
      <c r="C166" s="15" t="s">
        <v>338</v>
      </c>
      <c r="D166" s="15" t="s">
        <v>324</v>
      </c>
      <c r="E166" s="15" t="s">
        <v>325</v>
      </c>
      <c r="F166" s="15" t="s">
        <v>14</v>
      </c>
      <c r="G166" s="15" t="s">
        <v>15</v>
      </c>
      <c r="H166" s="15" t="s">
        <v>16</v>
      </c>
      <c r="I166" s="14">
        <v>266</v>
      </c>
      <c r="J166" s="14"/>
      <c r="K166" s="13" t="s">
        <v>339</v>
      </c>
    </row>
    <row r="167" spans="1:11" s="6" customFormat="1" ht="10.199999999999999" customHeight="1">
      <c r="A167" s="11">
        <v>166</v>
      </c>
      <c r="B167" s="10">
        <v>46284.054120370369</v>
      </c>
      <c r="C167" s="9" t="s">
        <v>340</v>
      </c>
      <c r="D167" s="9" t="s">
        <v>313</v>
      </c>
      <c r="E167" s="9" t="s">
        <v>314</v>
      </c>
      <c r="F167" s="9" t="s">
        <v>14</v>
      </c>
      <c r="G167" s="9" t="s">
        <v>15</v>
      </c>
      <c r="H167" s="9" t="s">
        <v>16</v>
      </c>
      <c r="I167" s="18">
        <v>1079</v>
      </c>
      <c r="J167" s="8"/>
      <c r="K167" s="7"/>
    </row>
    <row r="168" spans="1:11" s="6" customFormat="1" ht="10.199999999999999" customHeight="1">
      <c r="A168" s="11">
        <v>167</v>
      </c>
      <c r="B168" s="10">
        <v>46284.055393518516</v>
      </c>
      <c r="C168" s="9" t="s">
        <v>341</v>
      </c>
      <c r="D168" s="9" t="s">
        <v>313</v>
      </c>
      <c r="E168" s="9" t="s">
        <v>314</v>
      </c>
      <c r="F168" s="9" t="s">
        <v>14</v>
      </c>
      <c r="G168" s="9" t="s">
        <v>15</v>
      </c>
      <c r="H168" s="9" t="s">
        <v>16</v>
      </c>
      <c r="I168" s="18">
        <v>1515</v>
      </c>
      <c r="J168" s="8"/>
      <c r="K168" s="7"/>
    </row>
    <row r="169" spans="1:11" s="6" customFormat="1" ht="10.199999999999999" customHeight="1">
      <c r="A169" s="11">
        <v>168</v>
      </c>
      <c r="B169" s="10">
        <v>46284.057268518518</v>
      </c>
      <c r="C169" s="9" t="s">
        <v>342</v>
      </c>
      <c r="D169" s="9" t="s">
        <v>324</v>
      </c>
      <c r="E169" s="9" t="s">
        <v>325</v>
      </c>
      <c r="F169" s="9" t="s">
        <v>14</v>
      </c>
      <c r="G169" s="9" t="s">
        <v>15</v>
      </c>
      <c r="H169" s="9" t="s">
        <v>16</v>
      </c>
      <c r="I169" s="8">
        <v>500</v>
      </c>
      <c r="J169" s="8"/>
      <c r="K169" s="7" t="s">
        <v>328</v>
      </c>
    </row>
    <row r="170" spans="1:11" s="40" customFormat="1" ht="10.199999999999999" customHeight="1">
      <c r="A170" s="35">
        <v>169</v>
      </c>
      <c r="B170" s="36">
        <v>46284.05877314815</v>
      </c>
      <c r="C170" s="37" t="s">
        <v>343</v>
      </c>
      <c r="D170" s="37" t="s">
        <v>324</v>
      </c>
      <c r="E170" s="37" t="s">
        <v>325</v>
      </c>
      <c r="F170" s="37" t="s">
        <v>14</v>
      </c>
      <c r="G170" s="37" t="s">
        <v>15</v>
      </c>
      <c r="H170" s="37" t="s">
        <v>16</v>
      </c>
      <c r="I170" s="38">
        <v>500</v>
      </c>
      <c r="J170" s="38"/>
      <c r="K170" s="39" t="s">
        <v>27</v>
      </c>
    </row>
    <row r="171" spans="1:11" s="6" customFormat="1" ht="10.199999999999999" customHeight="1">
      <c r="A171" s="11">
        <v>170</v>
      </c>
      <c r="B171" s="10">
        <v>46284.061527777776</v>
      </c>
      <c r="C171" s="9" t="s">
        <v>344</v>
      </c>
      <c r="D171" s="9" t="s">
        <v>313</v>
      </c>
      <c r="E171" s="9" t="s">
        <v>314</v>
      </c>
      <c r="F171" s="9" t="s">
        <v>14</v>
      </c>
      <c r="G171" s="9" t="s">
        <v>15</v>
      </c>
      <c r="H171" s="9" t="s">
        <v>16</v>
      </c>
      <c r="I171" s="18">
        <v>2999</v>
      </c>
      <c r="J171" s="8"/>
      <c r="K171" s="7"/>
    </row>
    <row r="172" spans="1:11" s="6" customFormat="1" ht="10.199999999999999" customHeight="1">
      <c r="A172" s="11">
        <v>171</v>
      </c>
      <c r="B172" s="10">
        <v>46284.061585648145</v>
      </c>
      <c r="C172" s="9" t="s">
        <v>345</v>
      </c>
      <c r="D172" s="9" t="s">
        <v>222</v>
      </c>
      <c r="E172" s="9" t="s">
        <v>223</v>
      </c>
      <c r="F172" s="9" t="s">
        <v>14</v>
      </c>
      <c r="G172" s="9" t="s">
        <v>15</v>
      </c>
      <c r="H172" s="9" t="s">
        <v>16</v>
      </c>
      <c r="I172" s="18">
        <v>2999</v>
      </c>
      <c r="J172" s="8"/>
      <c r="K172" s="7" t="s">
        <v>346</v>
      </c>
    </row>
    <row r="173" spans="1:11" s="12" customFormat="1" ht="10.199999999999999" customHeight="1">
      <c r="A173" s="17">
        <v>172</v>
      </c>
      <c r="B173" s="16">
        <v>46284.065138888887</v>
      </c>
      <c r="C173" s="15" t="s">
        <v>347</v>
      </c>
      <c r="D173" s="15" t="s">
        <v>324</v>
      </c>
      <c r="E173" s="15" t="s">
        <v>325</v>
      </c>
      <c r="F173" s="15" t="s">
        <v>14</v>
      </c>
      <c r="G173" s="15" t="s">
        <v>15</v>
      </c>
      <c r="H173" s="15" t="s">
        <v>16</v>
      </c>
      <c r="I173" s="14">
        <v>477</v>
      </c>
      <c r="J173" s="14"/>
      <c r="K173" s="13" t="s">
        <v>339</v>
      </c>
    </row>
    <row r="174" spans="1:11" s="6" customFormat="1" ht="10.199999999999999" customHeight="1">
      <c r="A174" s="11">
        <v>173</v>
      </c>
      <c r="B174" s="10">
        <v>46284.065694444442</v>
      </c>
      <c r="C174" s="9" t="s">
        <v>348</v>
      </c>
      <c r="D174" s="9" t="s">
        <v>313</v>
      </c>
      <c r="E174" s="9" t="s">
        <v>314</v>
      </c>
      <c r="F174" s="9" t="s">
        <v>14</v>
      </c>
      <c r="G174" s="9" t="s">
        <v>15</v>
      </c>
      <c r="H174" s="9" t="s">
        <v>16</v>
      </c>
      <c r="I174" s="8">
        <v>499</v>
      </c>
      <c r="J174" s="8"/>
      <c r="K174" s="7" t="s">
        <v>349</v>
      </c>
    </row>
    <row r="175" spans="1:11" ht="10.199999999999999" customHeight="1">
      <c r="A175" s="5" t="s">
        <v>350</v>
      </c>
      <c r="B175" s="4"/>
      <c r="C175" s="4"/>
      <c r="D175" s="4"/>
      <c r="E175" s="4"/>
      <c r="F175" s="4"/>
      <c r="G175" s="4"/>
      <c r="H175" s="4"/>
      <c r="I175" s="3">
        <f>SUM(I2:I174)</f>
        <v>132975</v>
      </c>
      <c r="J175" s="2">
        <f>SUM(J2:J174)</f>
        <v>0</v>
      </c>
      <c r="K17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A36" workbookViewId="0">
      <selection activeCell="D52" sqref="D52"/>
    </sheetView>
  </sheetViews>
  <sheetFormatPr defaultRowHeight="13.8"/>
  <cols>
    <col min="1" max="1" width="8" customWidth="1"/>
    <col min="2" max="2" width="21" customWidth="1"/>
    <col min="3" max="3" width="13" customWidth="1"/>
    <col min="4" max="4" width="21" customWidth="1"/>
    <col min="5" max="5" width="19" customWidth="1"/>
    <col min="6" max="6" width="12" customWidth="1"/>
    <col min="7" max="7" width="19" customWidth="1"/>
    <col min="8" max="8" width="13" customWidth="1"/>
    <col min="9" max="10" width="12" customWidth="1"/>
    <col min="11" max="11" width="48" customWidth="1"/>
  </cols>
  <sheetData>
    <row r="1" spans="1:11" ht="17.850000000000001" customHeight="1">
      <c r="A1" s="41" t="s">
        <v>351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</row>
    <row r="2" spans="1:11" ht="15.6">
      <c r="A2" s="44">
        <v>2</v>
      </c>
      <c r="B2" s="50">
        <v>46283.853356481479</v>
      </c>
      <c r="C2" s="45" t="s">
        <v>18</v>
      </c>
      <c r="D2" s="45" t="s">
        <v>19</v>
      </c>
      <c r="E2" s="45" t="s">
        <v>20</v>
      </c>
      <c r="F2" s="45" t="s">
        <v>14</v>
      </c>
      <c r="G2" s="45" t="s">
        <v>15</v>
      </c>
      <c r="H2" s="45" t="s">
        <v>16</v>
      </c>
      <c r="I2" s="53">
        <v>100</v>
      </c>
      <c r="J2" s="53"/>
      <c r="K2" s="56" t="s">
        <v>21</v>
      </c>
    </row>
    <row r="3" spans="1:11" ht="15.6">
      <c r="A3" s="46">
        <v>21</v>
      </c>
      <c r="B3" s="51">
        <v>46283.861932870372</v>
      </c>
      <c r="C3" s="47" t="s">
        <v>69</v>
      </c>
      <c r="D3" s="47" t="s">
        <v>70</v>
      </c>
      <c r="E3" s="47" t="s">
        <v>71</v>
      </c>
      <c r="F3" s="47" t="s">
        <v>14</v>
      </c>
      <c r="G3" s="47" t="s">
        <v>15</v>
      </c>
      <c r="H3" s="47" t="s">
        <v>16</v>
      </c>
      <c r="I3" s="54">
        <v>345</v>
      </c>
      <c r="J3" s="54"/>
      <c r="K3" s="57" t="s">
        <v>72</v>
      </c>
    </row>
    <row r="4" spans="1:11" ht="15.6">
      <c r="A4" s="46">
        <v>22</v>
      </c>
      <c r="B4" s="51">
        <v>46283.862708333334</v>
      </c>
      <c r="C4" s="47" t="s">
        <v>73</v>
      </c>
      <c r="D4" s="47" t="s">
        <v>70</v>
      </c>
      <c r="E4" s="47" t="s">
        <v>71</v>
      </c>
      <c r="F4" s="47" t="s">
        <v>14</v>
      </c>
      <c r="G4" s="47" t="s">
        <v>15</v>
      </c>
      <c r="H4" s="47" t="s">
        <v>16</v>
      </c>
      <c r="I4" s="54">
        <v>335</v>
      </c>
      <c r="J4" s="54"/>
      <c r="K4" s="57"/>
    </row>
    <row r="5" spans="1:11" ht="15.6">
      <c r="A5" s="46">
        <v>24</v>
      </c>
      <c r="B5" s="51">
        <v>46283.863993055558</v>
      </c>
      <c r="C5" s="47" t="s">
        <v>77</v>
      </c>
      <c r="D5" s="47" t="s">
        <v>40</v>
      </c>
      <c r="E5" s="47" t="s">
        <v>41</v>
      </c>
      <c r="F5" s="47" t="s">
        <v>14</v>
      </c>
      <c r="G5" s="47" t="s">
        <v>15</v>
      </c>
      <c r="H5" s="47" t="s">
        <v>16</v>
      </c>
      <c r="I5" s="54">
        <v>1033</v>
      </c>
      <c r="J5" s="54"/>
      <c r="K5" s="57" t="s">
        <v>78</v>
      </c>
    </row>
    <row r="6" spans="1:11" ht="15.6">
      <c r="A6" s="46">
        <v>28</v>
      </c>
      <c r="B6" s="51">
        <v>46283.866516203707</v>
      </c>
      <c r="C6" s="47" t="s">
        <v>85</v>
      </c>
      <c r="D6" s="133" t="s">
        <v>86</v>
      </c>
      <c r="E6" s="47" t="s">
        <v>87</v>
      </c>
      <c r="F6" s="47" t="s">
        <v>14</v>
      </c>
      <c r="G6" s="47" t="s">
        <v>15</v>
      </c>
      <c r="H6" s="47" t="s">
        <v>16</v>
      </c>
      <c r="I6" s="131">
        <v>1470</v>
      </c>
      <c r="J6" s="54"/>
      <c r="K6" s="57" t="s">
        <v>88</v>
      </c>
    </row>
    <row r="7" spans="1:11" ht="15.6">
      <c r="A7" s="46">
        <v>31</v>
      </c>
      <c r="B7" s="51">
        <v>46283.870219907411</v>
      </c>
      <c r="C7" s="47" t="s">
        <v>93</v>
      </c>
      <c r="D7" s="133" t="s">
        <v>94</v>
      </c>
      <c r="E7" s="47" t="s">
        <v>95</v>
      </c>
      <c r="F7" s="47" t="s">
        <v>14</v>
      </c>
      <c r="G7" s="47" t="s">
        <v>15</v>
      </c>
      <c r="H7" s="47" t="s">
        <v>16</v>
      </c>
      <c r="I7" s="130">
        <v>2870</v>
      </c>
      <c r="J7" s="54"/>
      <c r="K7" s="57" t="s">
        <v>96</v>
      </c>
    </row>
    <row r="8" spans="1:11" ht="15.6">
      <c r="A8" s="46">
        <v>32</v>
      </c>
      <c r="B8" s="51">
        <v>46283.870706018519</v>
      </c>
      <c r="C8" s="47" t="s">
        <v>97</v>
      </c>
      <c r="D8" s="133" t="s">
        <v>40</v>
      </c>
      <c r="E8" s="47" t="s">
        <v>41</v>
      </c>
      <c r="F8" s="47" t="s">
        <v>14</v>
      </c>
      <c r="G8" s="47" t="s">
        <v>15</v>
      </c>
      <c r="H8" s="47" t="s">
        <v>16</v>
      </c>
      <c r="I8" s="131">
        <v>2870</v>
      </c>
      <c r="J8" s="54"/>
      <c r="K8" s="57" t="s">
        <v>98</v>
      </c>
    </row>
    <row r="9" spans="1:11" ht="31.2">
      <c r="A9" s="46">
        <v>33</v>
      </c>
      <c r="B9" s="51">
        <v>46283.878692129627</v>
      </c>
      <c r="C9" s="47" t="s">
        <v>99</v>
      </c>
      <c r="D9" s="47" t="s">
        <v>94</v>
      </c>
      <c r="E9" s="47" t="s">
        <v>95</v>
      </c>
      <c r="F9" s="47" t="s">
        <v>14</v>
      </c>
      <c r="G9" s="47" t="s">
        <v>15</v>
      </c>
      <c r="H9" s="47" t="s">
        <v>16</v>
      </c>
      <c r="I9" s="54">
        <v>365</v>
      </c>
      <c r="J9" s="54"/>
      <c r="K9" s="57" t="s">
        <v>100</v>
      </c>
    </row>
    <row r="10" spans="1:11" ht="15.6">
      <c r="A10" s="46">
        <v>34</v>
      </c>
      <c r="B10" s="51">
        <v>46283.879537037035</v>
      </c>
      <c r="C10" s="47" t="s">
        <v>101</v>
      </c>
      <c r="D10" s="47" t="s">
        <v>40</v>
      </c>
      <c r="E10" s="47" t="s">
        <v>41</v>
      </c>
      <c r="F10" s="47" t="s">
        <v>14</v>
      </c>
      <c r="G10" s="47" t="s">
        <v>15</v>
      </c>
      <c r="H10" s="47" t="s">
        <v>16</v>
      </c>
      <c r="I10" s="54">
        <v>124</v>
      </c>
      <c r="J10" s="54"/>
      <c r="K10" s="57"/>
    </row>
    <row r="11" spans="1:11" ht="15.6">
      <c r="A11" s="46">
        <v>35</v>
      </c>
      <c r="B11" s="51">
        <v>46283.879675925928</v>
      </c>
      <c r="C11" s="47" t="s">
        <v>102</v>
      </c>
      <c r="D11" s="47" t="s">
        <v>40</v>
      </c>
      <c r="E11" s="47" t="s">
        <v>41</v>
      </c>
      <c r="F11" s="47" t="s">
        <v>14</v>
      </c>
      <c r="G11" s="47" t="s">
        <v>15</v>
      </c>
      <c r="H11" s="47" t="s">
        <v>16</v>
      </c>
      <c r="I11" s="54">
        <v>119</v>
      </c>
      <c r="J11" s="54"/>
      <c r="K11" s="57"/>
    </row>
    <row r="12" spans="1:11" ht="15.6">
      <c r="A12" s="46">
        <v>36</v>
      </c>
      <c r="B12" s="51">
        <v>46283.879872685182</v>
      </c>
      <c r="C12" s="47" t="s">
        <v>103</v>
      </c>
      <c r="D12" s="47" t="s">
        <v>40</v>
      </c>
      <c r="E12" s="47" t="s">
        <v>41</v>
      </c>
      <c r="F12" s="47" t="s">
        <v>14</v>
      </c>
      <c r="G12" s="47" t="s">
        <v>15</v>
      </c>
      <c r="H12" s="47" t="s">
        <v>16</v>
      </c>
      <c r="I12" s="54">
        <v>189</v>
      </c>
      <c r="J12" s="54"/>
      <c r="K12" s="57"/>
    </row>
    <row r="13" spans="1:11" ht="15.6">
      <c r="A13" s="46">
        <v>37</v>
      </c>
      <c r="B13" s="51">
        <v>46283.879930555559</v>
      </c>
      <c r="C13" s="47" t="s">
        <v>104</v>
      </c>
      <c r="D13" s="47" t="s">
        <v>40</v>
      </c>
      <c r="E13" s="47" t="s">
        <v>41</v>
      </c>
      <c r="F13" s="47" t="s">
        <v>14</v>
      </c>
      <c r="G13" s="47" t="s">
        <v>15</v>
      </c>
      <c r="H13" s="47" t="s">
        <v>16</v>
      </c>
      <c r="I13" s="54">
        <v>266</v>
      </c>
      <c r="J13" s="54"/>
      <c r="K13" s="57"/>
    </row>
    <row r="14" spans="1:11" ht="15.6">
      <c r="A14" s="46">
        <v>38</v>
      </c>
      <c r="B14" s="51">
        <v>46283.88076388889</v>
      </c>
      <c r="C14" s="47" t="s">
        <v>105</v>
      </c>
      <c r="D14" s="47" t="s">
        <v>40</v>
      </c>
      <c r="E14" s="47" t="s">
        <v>41</v>
      </c>
      <c r="F14" s="47" t="s">
        <v>14</v>
      </c>
      <c r="G14" s="47" t="s">
        <v>15</v>
      </c>
      <c r="H14" s="47" t="s">
        <v>16</v>
      </c>
      <c r="I14" s="132">
        <v>1472</v>
      </c>
      <c r="J14" s="54"/>
      <c r="K14" s="57"/>
    </row>
    <row r="15" spans="1:11" ht="15.6">
      <c r="A15" s="46">
        <v>39</v>
      </c>
      <c r="B15" s="51">
        <v>46283.882754629631</v>
      </c>
      <c r="C15" s="47" t="s">
        <v>106</v>
      </c>
      <c r="D15" s="47" t="s">
        <v>40</v>
      </c>
      <c r="E15" s="47" t="s">
        <v>41</v>
      </c>
      <c r="F15" s="47" t="s">
        <v>14</v>
      </c>
      <c r="G15" s="47" t="s">
        <v>15</v>
      </c>
      <c r="H15" s="47" t="s">
        <v>16</v>
      </c>
      <c r="I15" s="54">
        <v>1312</v>
      </c>
      <c r="J15" s="54"/>
      <c r="K15" s="57"/>
    </row>
    <row r="16" spans="1:11" ht="31.2">
      <c r="A16" s="46">
        <v>42</v>
      </c>
      <c r="B16" s="51">
        <v>46283.889282407406</v>
      </c>
      <c r="C16" s="47" t="s">
        <v>111</v>
      </c>
      <c r="D16" s="47" t="s">
        <v>112</v>
      </c>
      <c r="E16" s="47" t="s">
        <v>113</v>
      </c>
      <c r="F16" s="47" t="s">
        <v>14</v>
      </c>
      <c r="G16" s="47" t="s">
        <v>15</v>
      </c>
      <c r="H16" s="47" t="s">
        <v>16</v>
      </c>
      <c r="I16" s="54">
        <v>365</v>
      </c>
      <c r="J16" s="54"/>
      <c r="K16" s="57" t="s">
        <v>114</v>
      </c>
    </row>
    <row r="17" spans="1:11" ht="15.6">
      <c r="A17" s="46">
        <v>43</v>
      </c>
      <c r="B17" s="51">
        <v>46283.890092592592</v>
      </c>
      <c r="C17" s="47" t="s">
        <v>115</v>
      </c>
      <c r="D17" s="47" t="s">
        <v>112</v>
      </c>
      <c r="E17" s="47" t="s">
        <v>113</v>
      </c>
      <c r="F17" s="47" t="s">
        <v>14</v>
      </c>
      <c r="G17" s="47" t="s">
        <v>15</v>
      </c>
      <c r="H17" s="47" t="s">
        <v>16</v>
      </c>
      <c r="I17" s="54">
        <v>135</v>
      </c>
      <c r="J17" s="54"/>
      <c r="K17" s="57" t="s">
        <v>116</v>
      </c>
    </row>
    <row r="18" spans="1:11" ht="15.6">
      <c r="A18" s="46">
        <v>46</v>
      </c>
      <c r="B18" s="51">
        <v>46283.896423611113</v>
      </c>
      <c r="C18" s="47" t="s">
        <v>123</v>
      </c>
      <c r="D18" s="47" t="s">
        <v>124</v>
      </c>
      <c r="E18" s="47" t="s">
        <v>125</v>
      </c>
      <c r="F18" s="47" t="s">
        <v>14</v>
      </c>
      <c r="G18" s="47" t="s">
        <v>15</v>
      </c>
      <c r="H18" s="47" t="s">
        <v>16</v>
      </c>
      <c r="I18" s="54">
        <v>1077</v>
      </c>
      <c r="J18" s="54"/>
      <c r="K18" s="57" t="s">
        <v>126</v>
      </c>
    </row>
    <row r="19" spans="1:11" ht="15.6">
      <c r="A19" s="46">
        <v>47</v>
      </c>
      <c r="B19" s="51">
        <v>46283.896874999999</v>
      </c>
      <c r="C19" s="47" t="s">
        <v>127</v>
      </c>
      <c r="D19" s="47" t="s">
        <v>40</v>
      </c>
      <c r="E19" s="47" t="s">
        <v>41</v>
      </c>
      <c r="F19" s="47" t="s">
        <v>14</v>
      </c>
      <c r="G19" s="47" t="s">
        <v>15</v>
      </c>
      <c r="H19" s="47" t="s">
        <v>16</v>
      </c>
      <c r="I19" s="54">
        <v>1077</v>
      </c>
      <c r="J19" s="54"/>
      <c r="K19" s="57" t="s">
        <v>98</v>
      </c>
    </row>
    <row r="20" spans="1:11" ht="15.6">
      <c r="A20" s="46">
        <v>54</v>
      </c>
      <c r="B20" s="51">
        <v>46283.915717592594</v>
      </c>
      <c r="C20" s="47" t="s">
        <v>142</v>
      </c>
      <c r="D20" s="47" t="s">
        <v>40</v>
      </c>
      <c r="E20" s="47" t="s">
        <v>41</v>
      </c>
      <c r="F20" s="47" t="s">
        <v>14</v>
      </c>
      <c r="G20" s="47" t="s">
        <v>15</v>
      </c>
      <c r="H20" s="47" t="s">
        <v>16</v>
      </c>
      <c r="I20" s="54">
        <v>1472</v>
      </c>
      <c r="J20" s="54"/>
      <c r="K20" s="57" t="s">
        <v>143</v>
      </c>
    </row>
    <row r="21" spans="1:11" ht="15.6">
      <c r="A21" s="46">
        <v>56</v>
      </c>
      <c r="B21" s="51">
        <v>46283.91909722222</v>
      </c>
      <c r="C21" s="47" t="s">
        <v>145</v>
      </c>
      <c r="D21" s="47" t="s">
        <v>40</v>
      </c>
      <c r="E21" s="47" t="s">
        <v>41</v>
      </c>
      <c r="F21" s="47" t="s">
        <v>14</v>
      </c>
      <c r="G21" s="47" t="s">
        <v>15</v>
      </c>
      <c r="H21" s="47" t="s">
        <v>16</v>
      </c>
      <c r="I21" s="54">
        <v>99</v>
      </c>
      <c r="J21" s="54"/>
      <c r="K21" s="57"/>
    </row>
    <row r="22" spans="1:11" ht="15.6">
      <c r="A22" s="46">
        <v>57</v>
      </c>
      <c r="B22" s="51">
        <v>46283.919131944444</v>
      </c>
      <c r="C22" s="47" t="s">
        <v>146</v>
      </c>
      <c r="D22" s="47" t="s">
        <v>147</v>
      </c>
      <c r="E22" s="47" t="s">
        <v>148</v>
      </c>
      <c r="F22" s="47" t="s">
        <v>14</v>
      </c>
      <c r="G22" s="47" t="s">
        <v>15</v>
      </c>
      <c r="H22" s="47" t="s">
        <v>16</v>
      </c>
      <c r="I22" s="54">
        <v>100</v>
      </c>
      <c r="J22" s="54"/>
      <c r="K22" s="57" t="s">
        <v>14</v>
      </c>
    </row>
    <row r="23" spans="1:11" ht="15.6">
      <c r="A23" s="46">
        <v>65</v>
      </c>
      <c r="B23" s="51">
        <v>46283.927499999998</v>
      </c>
      <c r="C23" s="47" t="s">
        <v>158</v>
      </c>
      <c r="D23" s="47" t="s">
        <v>94</v>
      </c>
      <c r="E23" s="47" t="s">
        <v>95</v>
      </c>
      <c r="F23" s="47" t="s">
        <v>14</v>
      </c>
      <c r="G23" s="47" t="s">
        <v>15</v>
      </c>
      <c r="H23" s="47" t="s">
        <v>16</v>
      </c>
      <c r="I23" s="54">
        <v>365</v>
      </c>
      <c r="J23" s="54"/>
      <c r="K23" s="57"/>
    </row>
    <row r="24" spans="1:11" ht="15.6">
      <c r="A24" s="46">
        <v>66</v>
      </c>
      <c r="B24" s="51">
        <v>46283.928495370368</v>
      </c>
      <c r="C24" s="47" t="s">
        <v>159</v>
      </c>
      <c r="D24" s="47" t="s">
        <v>40</v>
      </c>
      <c r="E24" s="47" t="s">
        <v>41</v>
      </c>
      <c r="F24" s="47" t="s">
        <v>14</v>
      </c>
      <c r="G24" s="47" t="s">
        <v>15</v>
      </c>
      <c r="H24" s="47" t="s">
        <v>16</v>
      </c>
      <c r="I24" s="54">
        <v>1414</v>
      </c>
      <c r="J24" s="54"/>
      <c r="K24" s="57" t="s">
        <v>160</v>
      </c>
    </row>
    <row r="25" spans="1:11" ht="31.2">
      <c r="A25" s="46">
        <v>67</v>
      </c>
      <c r="B25" s="51">
        <v>46283.928993055553</v>
      </c>
      <c r="C25" s="47" t="s">
        <v>161</v>
      </c>
      <c r="D25" s="47" t="s">
        <v>162</v>
      </c>
      <c r="E25" s="47" t="s">
        <v>163</v>
      </c>
      <c r="F25" s="47" t="s">
        <v>14</v>
      </c>
      <c r="G25" s="47" t="s">
        <v>15</v>
      </c>
      <c r="H25" s="47" t="s">
        <v>133</v>
      </c>
      <c r="I25" s="54">
        <v>370</v>
      </c>
      <c r="J25" s="54"/>
      <c r="K25" s="57" t="s">
        <v>164</v>
      </c>
    </row>
    <row r="26" spans="1:11" ht="15.6">
      <c r="A26" s="46">
        <v>69</v>
      </c>
      <c r="B26" s="51">
        <v>46283.933449074073</v>
      </c>
      <c r="C26" s="47" t="s">
        <v>167</v>
      </c>
      <c r="D26" s="47" t="s">
        <v>40</v>
      </c>
      <c r="E26" s="47" t="s">
        <v>41</v>
      </c>
      <c r="F26" s="47" t="s">
        <v>14</v>
      </c>
      <c r="G26" s="47" t="s">
        <v>15</v>
      </c>
      <c r="H26" s="47" t="s">
        <v>16</v>
      </c>
      <c r="I26" s="54">
        <v>100</v>
      </c>
      <c r="J26" s="54"/>
      <c r="K26" s="57" t="s">
        <v>168</v>
      </c>
    </row>
    <row r="27" spans="1:11" ht="15.6">
      <c r="A27" s="46">
        <v>74</v>
      </c>
      <c r="B27" s="51">
        <v>46283.952986111108</v>
      </c>
      <c r="C27" s="47" t="s">
        <v>175</v>
      </c>
      <c r="D27" s="47" t="s">
        <v>176</v>
      </c>
      <c r="E27" s="47" t="s">
        <v>177</v>
      </c>
      <c r="F27" s="47" t="s">
        <v>14</v>
      </c>
      <c r="G27" s="47" t="s">
        <v>15</v>
      </c>
      <c r="H27" s="47" t="s">
        <v>16</v>
      </c>
      <c r="I27" s="54">
        <v>1014</v>
      </c>
      <c r="J27" s="54"/>
      <c r="K27" s="57" t="s">
        <v>178</v>
      </c>
    </row>
    <row r="28" spans="1:11" ht="15.6">
      <c r="A28" s="46">
        <v>78</v>
      </c>
      <c r="B28" s="51">
        <v>46283.957395833335</v>
      </c>
      <c r="C28" s="47" t="s">
        <v>184</v>
      </c>
      <c r="D28" s="47" t="s">
        <v>40</v>
      </c>
      <c r="E28" s="47" t="s">
        <v>41</v>
      </c>
      <c r="F28" s="47" t="s">
        <v>14</v>
      </c>
      <c r="G28" s="47" t="s">
        <v>15</v>
      </c>
      <c r="H28" s="47" t="s">
        <v>16</v>
      </c>
      <c r="I28" s="54">
        <v>3000</v>
      </c>
      <c r="J28" s="54"/>
      <c r="K28" s="57" t="s">
        <v>185</v>
      </c>
    </row>
    <row r="29" spans="1:11" ht="31.2">
      <c r="A29" s="46">
        <v>79</v>
      </c>
      <c r="B29" s="51">
        <v>46283.960543981484</v>
      </c>
      <c r="C29" s="47" t="s">
        <v>186</v>
      </c>
      <c r="D29" s="47" t="s">
        <v>162</v>
      </c>
      <c r="E29" s="47" t="s">
        <v>163</v>
      </c>
      <c r="F29" s="47" t="s">
        <v>14</v>
      </c>
      <c r="G29" s="47" t="s">
        <v>15</v>
      </c>
      <c r="H29" s="47" t="s">
        <v>133</v>
      </c>
      <c r="I29" s="54">
        <v>170</v>
      </c>
      <c r="J29" s="54"/>
      <c r="K29" s="57" t="s">
        <v>187</v>
      </c>
    </row>
    <row r="30" spans="1:11" ht="15.6">
      <c r="A30" s="46">
        <v>80</v>
      </c>
      <c r="B30" s="51">
        <v>46283.963680555556</v>
      </c>
      <c r="C30" s="47" t="s">
        <v>188</v>
      </c>
      <c r="D30" s="47" t="s">
        <v>40</v>
      </c>
      <c r="E30" s="47" t="s">
        <v>41</v>
      </c>
      <c r="F30" s="47" t="s">
        <v>14</v>
      </c>
      <c r="G30" s="47" t="s">
        <v>15</v>
      </c>
      <c r="H30" s="47" t="s">
        <v>16</v>
      </c>
      <c r="I30" s="54">
        <v>10000</v>
      </c>
      <c r="J30" s="54"/>
      <c r="K30" s="57" t="s">
        <v>189</v>
      </c>
    </row>
    <row r="31" spans="1:11" ht="15.6">
      <c r="A31" s="46">
        <v>82</v>
      </c>
      <c r="B31" s="51">
        <v>46283.966539351852</v>
      </c>
      <c r="C31" s="47" t="s">
        <v>192</v>
      </c>
      <c r="D31" s="47" t="s">
        <v>40</v>
      </c>
      <c r="E31" s="47" t="s">
        <v>41</v>
      </c>
      <c r="F31" s="47" t="s">
        <v>14</v>
      </c>
      <c r="G31" s="47" t="s">
        <v>15</v>
      </c>
      <c r="H31" s="47" t="s">
        <v>16</v>
      </c>
      <c r="I31" s="54">
        <v>10000</v>
      </c>
      <c r="J31" s="54"/>
      <c r="K31" s="57"/>
    </row>
    <row r="32" spans="1:11" ht="15.6">
      <c r="A32" s="46">
        <v>83</v>
      </c>
      <c r="B32" s="51">
        <v>46283.967476851853</v>
      </c>
      <c r="C32" s="47" t="s">
        <v>193</v>
      </c>
      <c r="D32" s="47" t="s">
        <v>40</v>
      </c>
      <c r="E32" s="47" t="s">
        <v>41</v>
      </c>
      <c r="F32" s="47" t="s">
        <v>14</v>
      </c>
      <c r="G32" s="47" t="s">
        <v>15</v>
      </c>
      <c r="H32" s="47" t="s">
        <v>16</v>
      </c>
      <c r="I32" s="54">
        <v>1472</v>
      </c>
      <c r="J32" s="54"/>
      <c r="K32" s="57" t="s">
        <v>194</v>
      </c>
    </row>
    <row r="33" spans="1:11" ht="15.6">
      <c r="A33" s="46">
        <v>86</v>
      </c>
      <c r="B33" s="51">
        <v>46283.972569444442</v>
      </c>
      <c r="C33" s="47" t="s">
        <v>201</v>
      </c>
      <c r="D33" s="47" t="s">
        <v>202</v>
      </c>
      <c r="E33" s="47" t="s">
        <v>203</v>
      </c>
      <c r="F33" s="47" t="s">
        <v>14</v>
      </c>
      <c r="G33" s="47" t="s">
        <v>15</v>
      </c>
      <c r="H33" s="47" t="s">
        <v>16</v>
      </c>
      <c r="I33" s="54">
        <v>33</v>
      </c>
      <c r="J33" s="54"/>
      <c r="K33" s="57" t="s">
        <v>204</v>
      </c>
    </row>
    <row r="34" spans="1:11" ht="15.6">
      <c r="A34" s="46">
        <v>88</v>
      </c>
      <c r="B34" s="51">
        <v>46283.973460648151</v>
      </c>
      <c r="C34" s="47" t="s">
        <v>207</v>
      </c>
      <c r="D34" s="133" t="s">
        <v>198</v>
      </c>
      <c r="E34" s="47" t="s">
        <v>199</v>
      </c>
      <c r="F34" s="47" t="s">
        <v>14</v>
      </c>
      <c r="G34" s="47" t="s">
        <v>15</v>
      </c>
      <c r="H34" s="47" t="s">
        <v>16</v>
      </c>
      <c r="I34" s="131">
        <v>2870</v>
      </c>
      <c r="J34" s="54"/>
      <c r="K34" s="57" t="s">
        <v>208</v>
      </c>
    </row>
    <row r="35" spans="1:11" ht="15.6">
      <c r="A35" s="46">
        <v>89</v>
      </c>
      <c r="B35" s="51">
        <v>46283.97420138889</v>
      </c>
      <c r="C35" s="47" t="s">
        <v>209</v>
      </c>
      <c r="D35" s="47" t="s">
        <v>202</v>
      </c>
      <c r="E35" s="47" t="s">
        <v>203</v>
      </c>
      <c r="F35" s="47" t="s">
        <v>14</v>
      </c>
      <c r="G35" s="47" t="s">
        <v>15</v>
      </c>
      <c r="H35" s="47" t="s">
        <v>16</v>
      </c>
      <c r="I35" s="54">
        <v>500</v>
      </c>
      <c r="J35" s="54"/>
      <c r="K35" s="57" t="s">
        <v>178</v>
      </c>
    </row>
    <row r="36" spans="1:11" ht="15.6">
      <c r="A36" s="46">
        <v>92</v>
      </c>
      <c r="B36" s="51">
        <v>46283.97587962963</v>
      </c>
      <c r="C36" s="47" t="s">
        <v>212</v>
      </c>
      <c r="D36" s="47" t="s">
        <v>198</v>
      </c>
      <c r="E36" s="47" t="s">
        <v>199</v>
      </c>
      <c r="F36" s="47" t="s">
        <v>14</v>
      </c>
      <c r="G36" s="47" t="s">
        <v>15</v>
      </c>
      <c r="H36" s="47" t="s">
        <v>16</v>
      </c>
      <c r="I36" s="54">
        <v>365</v>
      </c>
      <c r="J36" s="54"/>
      <c r="K36" s="57" t="s">
        <v>178</v>
      </c>
    </row>
    <row r="37" spans="1:11" ht="15.6">
      <c r="A37" s="46">
        <v>93</v>
      </c>
      <c r="B37" s="51">
        <v>46283.976585648146</v>
      </c>
      <c r="C37" s="47" t="s">
        <v>213</v>
      </c>
      <c r="D37" s="47" t="s">
        <v>40</v>
      </c>
      <c r="E37" s="47" t="s">
        <v>41</v>
      </c>
      <c r="F37" s="47" t="s">
        <v>14</v>
      </c>
      <c r="G37" s="47" t="s">
        <v>15</v>
      </c>
      <c r="H37" s="47" t="s">
        <v>16</v>
      </c>
      <c r="I37" s="54">
        <v>3000</v>
      </c>
      <c r="J37" s="54"/>
      <c r="K37" s="57" t="s">
        <v>178</v>
      </c>
    </row>
    <row r="38" spans="1:11" ht="15.6">
      <c r="A38" s="46">
        <v>95</v>
      </c>
      <c r="B38" s="51">
        <v>46283.976898148147</v>
      </c>
      <c r="C38" s="47" t="s">
        <v>215</v>
      </c>
      <c r="D38" s="47" t="s">
        <v>198</v>
      </c>
      <c r="E38" s="47" t="s">
        <v>199</v>
      </c>
      <c r="F38" s="47" t="s">
        <v>14</v>
      </c>
      <c r="G38" s="47" t="s">
        <v>15</v>
      </c>
      <c r="H38" s="47" t="s">
        <v>16</v>
      </c>
      <c r="I38" s="54">
        <v>99</v>
      </c>
      <c r="J38" s="54"/>
      <c r="K38" s="57" t="s">
        <v>178</v>
      </c>
    </row>
    <row r="39" spans="1:11" ht="15.6">
      <c r="A39" s="46">
        <v>96</v>
      </c>
      <c r="B39" s="51">
        <v>46283.978425925925</v>
      </c>
      <c r="C39" s="47" t="s">
        <v>216</v>
      </c>
      <c r="D39" s="47" t="s">
        <v>94</v>
      </c>
      <c r="E39" s="47" t="s">
        <v>95</v>
      </c>
      <c r="F39" s="47" t="s">
        <v>14</v>
      </c>
      <c r="G39" s="47" t="s">
        <v>15</v>
      </c>
      <c r="H39" s="47" t="s">
        <v>16</v>
      </c>
      <c r="I39" s="54">
        <v>1058</v>
      </c>
      <c r="J39" s="54"/>
      <c r="K39" s="57" t="s">
        <v>217</v>
      </c>
    </row>
    <row r="40" spans="1:11" ht="15.6">
      <c r="A40" s="46">
        <v>98</v>
      </c>
      <c r="B40" s="51">
        <v>46283.980115740742</v>
      </c>
      <c r="C40" s="47" t="s">
        <v>219</v>
      </c>
      <c r="D40" s="47" t="s">
        <v>202</v>
      </c>
      <c r="E40" s="47" t="s">
        <v>203</v>
      </c>
      <c r="F40" s="47" t="s">
        <v>14</v>
      </c>
      <c r="G40" s="47" t="s">
        <v>15</v>
      </c>
      <c r="H40" s="47" t="s">
        <v>16</v>
      </c>
      <c r="I40" s="54">
        <v>10</v>
      </c>
      <c r="J40" s="54"/>
      <c r="K40" s="57" t="s">
        <v>220</v>
      </c>
    </row>
    <row r="41" spans="1:11" ht="15.6">
      <c r="A41" s="46">
        <v>105</v>
      </c>
      <c r="B41" s="51">
        <v>46283.982939814814</v>
      </c>
      <c r="C41" s="47" t="s">
        <v>232</v>
      </c>
      <c r="D41" s="47" t="s">
        <v>48</v>
      </c>
      <c r="E41" s="47" t="s">
        <v>49</v>
      </c>
      <c r="F41" s="47" t="s">
        <v>14</v>
      </c>
      <c r="G41" s="47" t="s">
        <v>15</v>
      </c>
      <c r="H41" s="47" t="s">
        <v>16</v>
      </c>
      <c r="I41" s="54">
        <v>10</v>
      </c>
      <c r="J41" s="54"/>
      <c r="K41" s="57" t="s">
        <v>233</v>
      </c>
    </row>
    <row r="42" spans="1:11" ht="15.6">
      <c r="A42" s="46">
        <v>112</v>
      </c>
      <c r="B42" s="51">
        <v>46283.987928240742</v>
      </c>
      <c r="C42" s="47" t="s">
        <v>243</v>
      </c>
      <c r="D42" s="47" t="s">
        <v>40</v>
      </c>
      <c r="E42" s="47" t="s">
        <v>41</v>
      </c>
      <c r="F42" s="47" t="s">
        <v>14</v>
      </c>
      <c r="G42" s="47" t="s">
        <v>15</v>
      </c>
      <c r="H42" s="47" t="s">
        <v>16</v>
      </c>
      <c r="I42" s="54">
        <v>1033</v>
      </c>
      <c r="J42" s="54"/>
      <c r="K42" s="57" t="s">
        <v>244</v>
      </c>
    </row>
    <row r="43" spans="1:11" ht="15.6">
      <c r="A43" s="46">
        <v>114</v>
      </c>
      <c r="B43" s="51">
        <v>46283.98846064815</v>
      </c>
      <c r="C43" s="47" t="s">
        <v>247</v>
      </c>
      <c r="D43" s="47" t="s">
        <v>40</v>
      </c>
      <c r="E43" s="47" t="s">
        <v>41</v>
      </c>
      <c r="F43" s="47" t="s">
        <v>14</v>
      </c>
      <c r="G43" s="47" t="s">
        <v>15</v>
      </c>
      <c r="H43" s="47" t="s">
        <v>16</v>
      </c>
      <c r="I43" s="54">
        <v>1041</v>
      </c>
      <c r="J43" s="54"/>
      <c r="K43" s="57"/>
    </row>
    <row r="44" spans="1:11" ht="31.2">
      <c r="A44" s="46">
        <v>118</v>
      </c>
      <c r="B44" s="51">
        <v>46283.992060185185</v>
      </c>
      <c r="C44" s="47" t="s">
        <v>253</v>
      </c>
      <c r="D44" s="47" t="s">
        <v>30</v>
      </c>
      <c r="E44" s="47" t="s">
        <v>31</v>
      </c>
      <c r="F44" s="47" t="s">
        <v>14</v>
      </c>
      <c r="G44" s="47" t="s">
        <v>15</v>
      </c>
      <c r="H44" s="47" t="s">
        <v>16</v>
      </c>
      <c r="I44" s="54">
        <v>10</v>
      </c>
      <c r="J44" s="54"/>
      <c r="K44" s="57" t="s">
        <v>254</v>
      </c>
    </row>
    <row r="45" spans="1:11" ht="15.6">
      <c r="A45" s="46">
        <v>130</v>
      </c>
      <c r="B45" s="51">
        <v>46283.994629629633</v>
      </c>
      <c r="C45" s="47" t="s">
        <v>273</v>
      </c>
      <c r="D45" s="47" t="s">
        <v>30</v>
      </c>
      <c r="E45" s="47" t="s">
        <v>31</v>
      </c>
      <c r="F45" s="47" t="s">
        <v>14</v>
      </c>
      <c r="G45" s="47" t="s">
        <v>15</v>
      </c>
      <c r="H45" s="47" t="s">
        <v>16</v>
      </c>
      <c r="I45" s="54">
        <v>10</v>
      </c>
      <c r="J45" s="54"/>
      <c r="K45" s="57" t="s">
        <v>274</v>
      </c>
    </row>
    <row r="46" spans="1:11" ht="15.6">
      <c r="A46" s="46">
        <v>131</v>
      </c>
      <c r="B46" s="51">
        <v>46283.995520833334</v>
      </c>
      <c r="C46" s="47" t="s">
        <v>275</v>
      </c>
      <c r="D46" s="47" t="s">
        <v>40</v>
      </c>
      <c r="E46" s="47" t="s">
        <v>41</v>
      </c>
      <c r="F46" s="47" t="s">
        <v>14</v>
      </c>
      <c r="G46" s="47" t="s">
        <v>15</v>
      </c>
      <c r="H46" s="47" t="s">
        <v>16</v>
      </c>
      <c r="I46" s="54">
        <v>1030</v>
      </c>
      <c r="J46" s="54"/>
      <c r="K46" s="57" t="s">
        <v>276</v>
      </c>
    </row>
    <row r="47" spans="1:11" ht="15.6">
      <c r="A47" s="46">
        <v>134</v>
      </c>
      <c r="B47" s="51">
        <v>46284.00440972222</v>
      </c>
      <c r="C47" s="47" t="s">
        <v>281</v>
      </c>
      <c r="D47" s="47" t="s">
        <v>40</v>
      </c>
      <c r="E47" s="47" t="s">
        <v>41</v>
      </c>
      <c r="F47" s="47" t="s">
        <v>14</v>
      </c>
      <c r="G47" s="47" t="s">
        <v>15</v>
      </c>
      <c r="H47" s="47" t="s">
        <v>16</v>
      </c>
      <c r="I47" s="54">
        <v>342</v>
      </c>
      <c r="J47" s="54"/>
      <c r="K47" s="57"/>
    </row>
    <row r="48" spans="1:11" ht="15.6">
      <c r="A48" s="46">
        <v>135</v>
      </c>
      <c r="B48" s="51">
        <v>46284.005972222221</v>
      </c>
      <c r="C48" s="47" t="s">
        <v>282</v>
      </c>
      <c r="D48" s="47" t="s">
        <v>40</v>
      </c>
      <c r="E48" s="47" t="s">
        <v>41</v>
      </c>
      <c r="F48" s="47" t="s">
        <v>14</v>
      </c>
      <c r="G48" s="47" t="s">
        <v>15</v>
      </c>
      <c r="H48" s="47" t="s">
        <v>16</v>
      </c>
      <c r="I48" s="54">
        <v>600</v>
      </c>
      <c r="J48" s="54"/>
      <c r="K48" s="57" t="s">
        <v>283</v>
      </c>
    </row>
    <row r="49" spans="1:11" ht="15.6">
      <c r="A49" s="46">
        <v>136</v>
      </c>
      <c r="B49" s="51">
        <v>46284.006296296298</v>
      </c>
      <c r="C49" s="47" t="s">
        <v>284</v>
      </c>
      <c r="D49" s="47" t="s">
        <v>40</v>
      </c>
      <c r="E49" s="47" t="s">
        <v>41</v>
      </c>
      <c r="F49" s="47" t="s">
        <v>14</v>
      </c>
      <c r="G49" s="47" t="s">
        <v>15</v>
      </c>
      <c r="H49" s="47" t="s">
        <v>16</v>
      </c>
      <c r="I49" s="54">
        <v>100</v>
      </c>
      <c r="J49" s="54"/>
      <c r="K49" s="57" t="s">
        <v>285</v>
      </c>
    </row>
    <row r="50" spans="1:11" ht="15.6">
      <c r="A50" s="46">
        <v>137</v>
      </c>
      <c r="B50" s="51">
        <v>46284.009120370371</v>
      </c>
      <c r="C50" s="47" t="s">
        <v>286</v>
      </c>
      <c r="D50" s="47" t="s">
        <v>40</v>
      </c>
      <c r="E50" s="47" t="s">
        <v>41</v>
      </c>
      <c r="F50" s="47" t="s">
        <v>14</v>
      </c>
      <c r="G50" s="47" t="s">
        <v>15</v>
      </c>
      <c r="H50" s="47" t="s">
        <v>16</v>
      </c>
      <c r="I50" s="54">
        <v>10000</v>
      </c>
      <c r="J50" s="54"/>
      <c r="K50" s="57" t="s">
        <v>287</v>
      </c>
    </row>
    <row r="51" spans="1:11" ht="15.6">
      <c r="A51" s="46">
        <v>138</v>
      </c>
      <c r="B51" s="51">
        <v>46284.011423611111</v>
      </c>
      <c r="C51" s="47" t="s">
        <v>288</v>
      </c>
      <c r="D51" s="47" t="s">
        <v>94</v>
      </c>
      <c r="E51" s="47" t="s">
        <v>95</v>
      </c>
      <c r="F51" s="47" t="s">
        <v>14</v>
      </c>
      <c r="G51" s="47" t="s">
        <v>15</v>
      </c>
      <c r="H51" s="47" t="s">
        <v>16</v>
      </c>
      <c r="I51" s="54">
        <v>1077</v>
      </c>
      <c r="J51" s="54"/>
      <c r="K51" s="57" t="s">
        <v>14</v>
      </c>
    </row>
    <row r="52" spans="1:11" ht="15.6">
      <c r="A52" s="46">
        <v>142</v>
      </c>
      <c r="B52" s="51">
        <v>46284.017280092594</v>
      </c>
      <c r="C52" s="47" t="s">
        <v>294</v>
      </c>
      <c r="D52" s="133" t="s">
        <v>295</v>
      </c>
      <c r="E52" s="47" t="s">
        <v>296</v>
      </c>
      <c r="F52" s="47" t="s">
        <v>14</v>
      </c>
      <c r="G52" s="47" t="s">
        <v>15</v>
      </c>
      <c r="H52" s="47" t="s">
        <v>16</v>
      </c>
      <c r="I52" s="131">
        <v>2870</v>
      </c>
      <c r="J52" s="54"/>
      <c r="K52" s="57" t="s">
        <v>297</v>
      </c>
    </row>
    <row r="53" spans="1:11" ht="15.6">
      <c r="A53" s="46">
        <v>150</v>
      </c>
      <c r="B53" s="51">
        <v>46284.030393518522</v>
      </c>
      <c r="C53" s="47" t="s">
        <v>310</v>
      </c>
      <c r="D53" s="47" t="s">
        <v>295</v>
      </c>
      <c r="E53" s="47" t="s">
        <v>296</v>
      </c>
      <c r="F53" s="47" t="s">
        <v>14</v>
      </c>
      <c r="G53" s="47" t="s">
        <v>15</v>
      </c>
      <c r="H53" s="47" t="s">
        <v>16</v>
      </c>
      <c r="I53" s="54">
        <v>126</v>
      </c>
      <c r="J53" s="54"/>
      <c r="K53" s="57" t="s">
        <v>311</v>
      </c>
    </row>
    <row r="54" spans="1:11" ht="15.6">
      <c r="A54" s="46">
        <v>161</v>
      </c>
      <c r="B54" s="51">
        <v>46284.050509259258</v>
      </c>
      <c r="C54" s="47" t="s">
        <v>334</v>
      </c>
      <c r="D54" s="47" t="s">
        <v>332</v>
      </c>
      <c r="E54" s="47" t="s">
        <v>333</v>
      </c>
      <c r="F54" s="47" t="s">
        <v>14</v>
      </c>
      <c r="G54" s="47" t="s">
        <v>15</v>
      </c>
      <c r="H54" s="47" t="s">
        <v>16</v>
      </c>
      <c r="I54" s="54">
        <v>365</v>
      </c>
      <c r="J54" s="54"/>
      <c r="K54" s="57" t="s">
        <v>14</v>
      </c>
    </row>
    <row r="55" spans="1:11" ht="15.6">
      <c r="A55" s="46">
        <v>163</v>
      </c>
      <c r="B55" s="51">
        <v>46284.052245370367</v>
      </c>
      <c r="C55" s="47" t="s">
        <v>336</v>
      </c>
      <c r="D55" s="47" t="s">
        <v>332</v>
      </c>
      <c r="E55" s="47" t="s">
        <v>333</v>
      </c>
      <c r="F55" s="47" t="s">
        <v>14</v>
      </c>
      <c r="G55" s="47" t="s">
        <v>15</v>
      </c>
      <c r="H55" s="47" t="s">
        <v>16</v>
      </c>
      <c r="I55" s="54">
        <v>183</v>
      </c>
      <c r="J55" s="54"/>
      <c r="K55" s="57" t="s">
        <v>14</v>
      </c>
    </row>
    <row r="56" spans="1:11" ht="15.6">
      <c r="A56" s="46">
        <v>165</v>
      </c>
      <c r="B56" s="51">
        <v>46284.053182870368</v>
      </c>
      <c r="C56" s="47" t="s">
        <v>338</v>
      </c>
      <c r="D56" s="47" t="s">
        <v>324</v>
      </c>
      <c r="E56" s="47" t="s">
        <v>325</v>
      </c>
      <c r="F56" s="47" t="s">
        <v>14</v>
      </c>
      <c r="G56" s="47" t="s">
        <v>15</v>
      </c>
      <c r="H56" s="47" t="s">
        <v>16</v>
      </c>
      <c r="I56" s="54">
        <v>266</v>
      </c>
      <c r="J56" s="54"/>
      <c r="K56" s="57" t="s">
        <v>339</v>
      </c>
    </row>
    <row r="57" spans="1:11" ht="15.6">
      <c r="A57" s="48">
        <v>172</v>
      </c>
      <c r="B57" s="52">
        <v>46284.065138888887</v>
      </c>
      <c r="C57" s="49" t="s">
        <v>347</v>
      </c>
      <c r="D57" s="49" t="s">
        <v>324</v>
      </c>
      <c r="E57" s="49" t="s">
        <v>325</v>
      </c>
      <c r="F57" s="49" t="s">
        <v>14</v>
      </c>
      <c r="G57" s="49" t="s">
        <v>15</v>
      </c>
      <c r="H57" s="49" t="s">
        <v>16</v>
      </c>
      <c r="I57" s="55">
        <v>477</v>
      </c>
      <c r="J57" s="55"/>
      <c r="K57" s="58" t="s">
        <v>339</v>
      </c>
    </row>
    <row r="58" spans="1:11" ht="15.6">
      <c r="A58" s="59" t="s">
        <v>350</v>
      </c>
      <c r="B58" s="60"/>
      <c r="C58" s="60"/>
      <c r="D58" s="60"/>
      <c r="E58" s="60"/>
      <c r="F58" s="60"/>
      <c r="G58" s="60"/>
      <c r="H58" s="60"/>
      <c r="I58" s="61">
        <f>SUM(I2:I57)</f>
        <v>72575</v>
      </c>
      <c r="J58" s="61">
        <f>SUM(J2:J57)</f>
        <v>0</v>
      </c>
      <c r="K58" s="6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workbookViewId="0"/>
  </sheetViews>
  <sheetFormatPr defaultRowHeight="13.8"/>
  <cols>
    <col min="1" max="1" width="8" customWidth="1"/>
    <col min="2" max="2" width="21" customWidth="1"/>
    <col min="3" max="3" width="13" customWidth="1"/>
    <col min="4" max="4" width="21" customWidth="1"/>
    <col min="5" max="5" width="19" customWidth="1"/>
    <col min="6" max="6" width="12" customWidth="1"/>
    <col min="7" max="7" width="19" customWidth="1"/>
    <col min="8" max="8" width="13" customWidth="1"/>
    <col min="9" max="10" width="12" customWidth="1"/>
    <col min="11" max="11" width="48" customWidth="1"/>
  </cols>
  <sheetData>
    <row r="1" spans="1:11" ht="17.850000000000001" customHeight="1">
      <c r="A1" s="41" t="s">
        <v>351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</row>
    <row r="2" spans="1:11" ht="15.6">
      <c r="A2" s="63">
        <v>1</v>
      </c>
      <c r="B2" s="69">
        <v>46283.851388888892</v>
      </c>
      <c r="C2" s="64" t="s">
        <v>11</v>
      </c>
      <c r="D2" s="64" t="s">
        <v>12</v>
      </c>
      <c r="E2" s="64" t="s">
        <v>13</v>
      </c>
      <c r="F2" s="64" t="s">
        <v>14</v>
      </c>
      <c r="G2" s="64" t="s">
        <v>15</v>
      </c>
      <c r="H2" s="64" t="s">
        <v>16</v>
      </c>
      <c r="I2" s="72">
        <v>10</v>
      </c>
      <c r="J2" s="72"/>
      <c r="K2" s="75" t="s">
        <v>17</v>
      </c>
    </row>
    <row r="3" spans="1:11" ht="15.6">
      <c r="A3" s="65">
        <v>6</v>
      </c>
      <c r="B3" s="70">
        <v>46283.855868055558</v>
      </c>
      <c r="C3" s="66" t="s">
        <v>29</v>
      </c>
      <c r="D3" s="66" t="s">
        <v>30</v>
      </c>
      <c r="E3" s="66" t="s">
        <v>31</v>
      </c>
      <c r="F3" s="66" t="s">
        <v>14</v>
      </c>
      <c r="G3" s="66" t="s">
        <v>15</v>
      </c>
      <c r="H3" s="66" t="s">
        <v>16</v>
      </c>
      <c r="I3" s="73">
        <v>152</v>
      </c>
      <c r="J3" s="73"/>
      <c r="K3" s="76" t="s">
        <v>32</v>
      </c>
    </row>
    <row r="4" spans="1:11" ht="15.6">
      <c r="A4" s="65">
        <v>10</v>
      </c>
      <c r="B4" s="70">
        <v>46283.857997685183</v>
      </c>
      <c r="C4" s="66" t="s">
        <v>43</v>
      </c>
      <c r="D4" s="66" t="s">
        <v>30</v>
      </c>
      <c r="E4" s="66" t="s">
        <v>31</v>
      </c>
      <c r="F4" s="66" t="s">
        <v>14</v>
      </c>
      <c r="G4" s="66" t="s">
        <v>15</v>
      </c>
      <c r="H4" s="66" t="s">
        <v>16</v>
      </c>
      <c r="I4" s="73">
        <v>10</v>
      </c>
      <c r="J4" s="73"/>
      <c r="K4" s="76" t="s">
        <v>44</v>
      </c>
    </row>
    <row r="5" spans="1:11" ht="15.6">
      <c r="A5" s="65">
        <v>11</v>
      </c>
      <c r="B5" s="70">
        <v>46283.858356481483</v>
      </c>
      <c r="C5" s="66" t="s">
        <v>45</v>
      </c>
      <c r="D5" s="66" t="s">
        <v>40</v>
      </c>
      <c r="E5" s="66" t="s">
        <v>41</v>
      </c>
      <c r="F5" s="66" t="s">
        <v>14</v>
      </c>
      <c r="G5" s="66" t="s">
        <v>15</v>
      </c>
      <c r="H5" s="66" t="s">
        <v>16</v>
      </c>
      <c r="I5" s="73">
        <v>100</v>
      </c>
      <c r="J5" s="73"/>
      <c r="K5" s="76" t="s">
        <v>46</v>
      </c>
    </row>
    <row r="6" spans="1:11" ht="15.6">
      <c r="A6" s="65">
        <v>13</v>
      </c>
      <c r="B6" s="70">
        <v>46283.859050925923</v>
      </c>
      <c r="C6" s="66" t="s">
        <v>51</v>
      </c>
      <c r="D6" s="66" t="s">
        <v>52</v>
      </c>
      <c r="E6" s="66" t="s">
        <v>53</v>
      </c>
      <c r="F6" s="66" t="s">
        <v>14</v>
      </c>
      <c r="G6" s="66" t="s">
        <v>15</v>
      </c>
      <c r="H6" s="66" t="s">
        <v>16</v>
      </c>
      <c r="I6" s="73">
        <v>107</v>
      </c>
      <c r="J6" s="73"/>
      <c r="K6" s="76" t="s">
        <v>54</v>
      </c>
    </row>
    <row r="7" spans="1:11" ht="15.6">
      <c r="A7" s="65">
        <v>18</v>
      </c>
      <c r="B7" s="70">
        <v>46283.860856481479</v>
      </c>
      <c r="C7" s="66" t="s">
        <v>63</v>
      </c>
      <c r="D7" s="66" t="s">
        <v>30</v>
      </c>
      <c r="E7" s="66" t="s">
        <v>31</v>
      </c>
      <c r="F7" s="66" t="s">
        <v>14</v>
      </c>
      <c r="G7" s="66" t="s">
        <v>15</v>
      </c>
      <c r="H7" s="66" t="s">
        <v>16</v>
      </c>
      <c r="I7" s="73">
        <v>10</v>
      </c>
      <c r="J7" s="73"/>
      <c r="K7" s="76" t="s">
        <v>64</v>
      </c>
    </row>
    <row r="8" spans="1:11" ht="15.6">
      <c r="A8" s="65">
        <v>23</v>
      </c>
      <c r="B8" s="70">
        <v>46283.863900462966</v>
      </c>
      <c r="C8" s="66" t="s">
        <v>74</v>
      </c>
      <c r="D8" s="66" t="s">
        <v>75</v>
      </c>
      <c r="E8" s="66" t="s">
        <v>76</v>
      </c>
      <c r="F8" s="66" t="s">
        <v>14</v>
      </c>
      <c r="G8" s="66" t="s">
        <v>15</v>
      </c>
      <c r="H8" s="66" t="s">
        <v>16</v>
      </c>
      <c r="I8" s="73">
        <v>10</v>
      </c>
      <c r="J8" s="73"/>
      <c r="K8" s="76" t="s">
        <v>17</v>
      </c>
    </row>
    <row r="9" spans="1:11" ht="15.6">
      <c r="A9" s="65">
        <v>29</v>
      </c>
      <c r="B9" s="70">
        <v>46283.867592592593</v>
      </c>
      <c r="C9" s="66" t="s">
        <v>89</v>
      </c>
      <c r="D9" s="66" t="s">
        <v>48</v>
      </c>
      <c r="E9" s="66" t="s">
        <v>49</v>
      </c>
      <c r="F9" s="66" t="s">
        <v>14</v>
      </c>
      <c r="G9" s="66" t="s">
        <v>15</v>
      </c>
      <c r="H9" s="66" t="s">
        <v>16</v>
      </c>
      <c r="I9" s="73">
        <v>100</v>
      </c>
      <c r="J9" s="73"/>
      <c r="K9" s="76" t="s">
        <v>90</v>
      </c>
    </row>
    <row r="10" spans="1:11" ht="15.6">
      <c r="A10" s="65">
        <v>30</v>
      </c>
      <c r="B10" s="70">
        <v>46283.86886574074</v>
      </c>
      <c r="C10" s="66" t="s">
        <v>91</v>
      </c>
      <c r="D10" s="66" t="s">
        <v>86</v>
      </c>
      <c r="E10" s="66" t="s">
        <v>87</v>
      </c>
      <c r="F10" s="66" t="s">
        <v>14</v>
      </c>
      <c r="G10" s="66" t="s">
        <v>15</v>
      </c>
      <c r="H10" s="66" t="s">
        <v>16</v>
      </c>
      <c r="I10" s="73">
        <v>30</v>
      </c>
      <c r="J10" s="73"/>
      <c r="K10" s="76" t="s">
        <v>92</v>
      </c>
    </row>
    <row r="11" spans="1:11" ht="15.6">
      <c r="A11" s="65">
        <v>40</v>
      </c>
      <c r="B11" s="70">
        <v>46283.887453703705</v>
      </c>
      <c r="C11" s="66" t="s">
        <v>107</v>
      </c>
      <c r="D11" s="66" t="s">
        <v>40</v>
      </c>
      <c r="E11" s="66" t="s">
        <v>41</v>
      </c>
      <c r="F11" s="66" t="s">
        <v>14</v>
      </c>
      <c r="G11" s="66" t="s">
        <v>15</v>
      </c>
      <c r="H11" s="66" t="s">
        <v>16</v>
      </c>
      <c r="I11" s="73">
        <v>467</v>
      </c>
      <c r="J11" s="73"/>
      <c r="K11" s="76" t="s">
        <v>108</v>
      </c>
    </row>
    <row r="12" spans="1:11" ht="15.6">
      <c r="A12" s="65">
        <v>41</v>
      </c>
      <c r="B12" s="70">
        <v>46283.888981481483</v>
      </c>
      <c r="C12" s="66" t="s">
        <v>109</v>
      </c>
      <c r="D12" s="66" t="s">
        <v>94</v>
      </c>
      <c r="E12" s="66" t="s">
        <v>95</v>
      </c>
      <c r="F12" s="66" t="s">
        <v>14</v>
      </c>
      <c r="G12" s="66" t="s">
        <v>15</v>
      </c>
      <c r="H12" s="66" t="s">
        <v>16</v>
      </c>
      <c r="I12" s="73">
        <v>122</v>
      </c>
      <c r="J12" s="73"/>
      <c r="K12" s="76" t="s">
        <v>110</v>
      </c>
    </row>
    <row r="13" spans="1:11" ht="15.6">
      <c r="A13" s="65">
        <v>44</v>
      </c>
      <c r="B13" s="70">
        <v>46283.893923611111</v>
      </c>
      <c r="C13" s="66" t="s">
        <v>117</v>
      </c>
      <c r="D13" s="66" t="s">
        <v>118</v>
      </c>
      <c r="E13" s="66" t="s">
        <v>119</v>
      </c>
      <c r="F13" s="66" t="s">
        <v>14</v>
      </c>
      <c r="G13" s="66" t="s">
        <v>15</v>
      </c>
      <c r="H13" s="66" t="s">
        <v>16</v>
      </c>
      <c r="I13" s="73">
        <v>33</v>
      </c>
      <c r="J13" s="73"/>
      <c r="K13" s="76" t="s">
        <v>120</v>
      </c>
    </row>
    <row r="14" spans="1:11" ht="15.6">
      <c r="A14" s="65">
        <v>45</v>
      </c>
      <c r="B14" s="70">
        <v>46283.894155092596</v>
      </c>
      <c r="C14" s="66" t="s">
        <v>121</v>
      </c>
      <c r="D14" s="66" t="s">
        <v>118</v>
      </c>
      <c r="E14" s="66" t="s">
        <v>119</v>
      </c>
      <c r="F14" s="66" t="s">
        <v>14</v>
      </c>
      <c r="G14" s="66" t="s">
        <v>15</v>
      </c>
      <c r="H14" s="66" t="s">
        <v>16</v>
      </c>
      <c r="I14" s="73">
        <v>467</v>
      </c>
      <c r="J14" s="73"/>
      <c r="K14" s="76" t="s">
        <v>122</v>
      </c>
    </row>
    <row r="15" spans="1:11" ht="15.6">
      <c r="A15" s="65">
        <v>48</v>
      </c>
      <c r="B15" s="70">
        <v>46283.897685185184</v>
      </c>
      <c r="C15" s="66" t="s">
        <v>128</v>
      </c>
      <c r="D15" s="66" t="s">
        <v>124</v>
      </c>
      <c r="E15" s="66" t="s">
        <v>125</v>
      </c>
      <c r="F15" s="66" t="s">
        <v>14</v>
      </c>
      <c r="G15" s="66" t="s">
        <v>15</v>
      </c>
      <c r="H15" s="66" t="s">
        <v>16</v>
      </c>
      <c r="I15" s="73">
        <v>467</v>
      </c>
      <c r="J15" s="73"/>
      <c r="K15" s="76" t="s">
        <v>129</v>
      </c>
    </row>
    <row r="16" spans="1:11" ht="15.6">
      <c r="A16" s="65">
        <v>49</v>
      </c>
      <c r="B16" s="70">
        <v>46283.89875</v>
      </c>
      <c r="C16" s="66" t="s">
        <v>130</v>
      </c>
      <c r="D16" s="66" t="s">
        <v>40</v>
      </c>
      <c r="E16" s="66" t="s">
        <v>41</v>
      </c>
      <c r="F16" s="66" t="s">
        <v>14</v>
      </c>
      <c r="G16" s="66" t="s">
        <v>15</v>
      </c>
      <c r="H16" s="66" t="s">
        <v>16</v>
      </c>
      <c r="I16" s="73">
        <v>100</v>
      </c>
      <c r="J16" s="73"/>
      <c r="K16" s="76" t="s">
        <v>131</v>
      </c>
    </row>
    <row r="17" spans="1:11" ht="31.2">
      <c r="A17" s="65">
        <v>50</v>
      </c>
      <c r="B17" s="70">
        <v>46283.905092592591</v>
      </c>
      <c r="C17" s="66" t="s">
        <v>132</v>
      </c>
      <c r="D17" s="66" t="s">
        <v>118</v>
      </c>
      <c r="E17" s="66" t="s">
        <v>119</v>
      </c>
      <c r="F17" s="66" t="s">
        <v>14</v>
      </c>
      <c r="G17" s="66" t="s">
        <v>15</v>
      </c>
      <c r="H17" s="66" t="s">
        <v>133</v>
      </c>
      <c r="I17" s="73">
        <v>370</v>
      </c>
      <c r="J17" s="73"/>
      <c r="K17" s="76" t="s">
        <v>134</v>
      </c>
    </row>
    <row r="18" spans="1:11" ht="15.6">
      <c r="A18" s="65">
        <v>51</v>
      </c>
      <c r="B18" s="70">
        <v>46283.905185185184</v>
      </c>
      <c r="C18" s="66" t="s">
        <v>135</v>
      </c>
      <c r="D18" s="66" t="s">
        <v>118</v>
      </c>
      <c r="E18" s="66" t="s">
        <v>119</v>
      </c>
      <c r="F18" s="66" t="s">
        <v>14</v>
      </c>
      <c r="G18" s="66" t="s">
        <v>15</v>
      </c>
      <c r="H18" s="66" t="s">
        <v>16</v>
      </c>
      <c r="I18" s="73">
        <v>135</v>
      </c>
      <c r="J18" s="73"/>
      <c r="K18" s="76" t="s">
        <v>136</v>
      </c>
    </row>
    <row r="19" spans="1:11" ht="15.6">
      <c r="A19" s="65">
        <v>52</v>
      </c>
      <c r="B19" s="70">
        <v>46283.911111111112</v>
      </c>
      <c r="C19" s="66" t="s">
        <v>137</v>
      </c>
      <c r="D19" s="66" t="s">
        <v>138</v>
      </c>
      <c r="E19" s="66" t="s">
        <v>139</v>
      </c>
      <c r="F19" s="66" t="s">
        <v>14</v>
      </c>
      <c r="G19" s="66" t="s">
        <v>15</v>
      </c>
      <c r="H19" s="66" t="s">
        <v>16</v>
      </c>
      <c r="I19" s="73">
        <v>467</v>
      </c>
      <c r="J19" s="73"/>
      <c r="K19" s="76"/>
    </row>
    <row r="20" spans="1:11" ht="15.6">
      <c r="A20" s="65">
        <v>55</v>
      </c>
      <c r="B20" s="70">
        <v>46283.918611111112</v>
      </c>
      <c r="C20" s="66" t="s">
        <v>144</v>
      </c>
      <c r="D20" s="66" t="s">
        <v>138</v>
      </c>
      <c r="E20" s="66" t="s">
        <v>139</v>
      </c>
      <c r="F20" s="66" t="s">
        <v>14</v>
      </c>
      <c r="G20" s="66" t="s">
        <v>15</v>
      </c>
      <c r="H20" s="66" t="s">
        <v>16</v>
      </c>
      <c r="I20" s="73">
        <v>99</v>
      </c>
      <c r="J20" s="73"/>
      <c r="K20" s="76"/>
    </row>
    <row r="21" spans="1:11" ht="15.6">
      <c r="A21" s="65">
        <v>58</v>
      </c>
      <c r="B21" s="70">
        <v>46283.919606481482</v>
      </c>
      <c r="C21" s="66" t="s">
        <v>149</v>
      </c>
      <c r="D21" s="66" t="s">
        <v>147</v>
      </c>
      <c r="E21" s="66" t="s">
        <v>148</v>
      </c>
      <c r="F21" s="66" t="s">
        <v>14</v>
      </c>
      <c r="G21" s="66" t="s">
        <v>15</v>
      </c>
      <c r="H21" s="66" t="s">
        <v>16</v>
      </c>
      <c r="I21" s="73">
        <v>100</v>
      </c>
      <c r="J21" s="73"/>
      <c r="K21" s="76" t="s">
        <v>150</v>
      </c>
    </row>
    <row r="22" spans="1:11" ht="15.6">
      <c r="A22" s="65">
        <v>59</v>
      </c>
      <c r="B22" s="70">
        <v>46283.920983796299</v>
      </c>
      <c r="C22" s="66" t="s">
        <v>151</v>
      </c>
      <c r="D22" s="66" t="s">
        <v>138</v>
      </c>
      <c r="E22" s="66" t="s">
        <v>139</v>
      </c>
      <c r="F22" s="66" t="s">
        <v>14</v>
      </c>
      <c r="G22" s="66" t="s">
        <v>15</v>
      </c>
      <c r="H22" s="66" t="s">
        <v>16</v>
      </c>
      <c r="I22" s="73">
        <v>200</v>
      </c>
      <c r="J22" s="73"/>
      <c r="K22" s="76"/>
    </row>
    <row r="23" spans="1:11" ht="15.6">
      <c r="A23" s="65">
        <v>60</v>
      </c>
      <c r="B23" s="70">
        <v>46283.9216087963</v>
      </c>
      <c r="C23" s="66" t="s">
        <v>152</v>
      </c>
      <c r="D23" s="66" t="s">
        <v>40</v>
      </c>
      <c r="E23" s="66" t="s">
        <v>41</v>
      </c>
      <c r="F23" s="66" t="s">
        <v>14</v>
      </c>
      <c r="G23" s="66" t="s">
        <v>15</v>
      </c>
      <c r="H23" s="66" t="s">
        <v>16</v>
      </c>
      <c r="I23" s="73">
        <v>310</v>
      </c>
      <c r="J23" s="73"/>
      <c r="K23" s="76" t="s">
        <v>17</v>
      </c>
    </row>
    <row r="24" spans="1:11" ht="15.6">
      <c r="A24" s="65">
        <v>61</v>
      </c>
      <c r="B24" s="70">
        <v>46283.923657407409</v>
      </c>
      <c r="C24" s="66" t="s">
        <v>153</v>
      </c>
      <c r="D24" s="66" t="s">
        <v>30</v>
      </c>
      <c r="E24" s="66" t="s">
        <v>31</v>
      </c>
      <c r="F24" s="66" t="s">
        <v>14</v>
      </c>
      <c r="G24" s="66" t="s">
        <v>15</v>
      </c>
      <c r="H24" s="66" t="s">
        <v>16</v>
      </c>
      <c r="I24" s="73">
        <v>467</v>
      </c>
      <c r="J24" s="73"/>
      <c r="K24" s="76" t="s">
        <v>154</v>
      </c>
    </row>
    <row r="25" spans="1:11" ht="15.6">
      <c r="A25" s="65">
        <v>62</v>
      </c>
      <c r="B25" s="70">
        <v>46283.923946759256</v>
      </c>
      <c r="C25" s="66" t="s">
        <v>155</v>
      </c>
      <c r="D25" s="66" t="s">
        <v>40</v>
      </c>
      <c r="E25" s="66" t="s">
        <v>41</v>
      </c>
      <c r="F25" s="66" t="s">
        <v>14</v>
      </c>
      <c r="G25" s="66" t="s">
        <v>15</v>
      </c>
      <c r="H25" s="66" t="s">
        <v>16</v>
      </c>
      <c r="I25" s="73">
        <v>310</v>
      </c>
      <c r="J25" s="73"/>
      <c r="K25" s="76" t="s">
        <v>17</v>
      </c>
    </row>
    <row r="26" spans="1:11" ht="15.6">
      <c r="A26" s="65">
        <v>63</v>
      </c>
      <c r="B26" s="70">
        <v>46283.925335648149</v>
      </c>
      <c r="C26" s="66" t="s">
        <v>156</v>
      </c>
      <c r="D26" s="66" t="s">
        <v>40</v>
      </c>
      <c r="E26" s="66" t="s">
        <v>41</v>
      </c>
      <c r="F26" s="66" t="s">
        <v>14</v>
      </c>
      <c r="G26" s="66" t="s">
        <v>15</v>
      </c>
      <c r="H26" s="66" t="s">
        <v>16</v>
      </c>
      <c r="I26" s="73">
        <v>122</v>
      </c>
      <c r="J26" s="73"/>
      <c r="K26" s="76"/>
    </row>
    <row r="27" spans="1:11" ht="15.6">
      <c r="A27" s="65">
        <v>64</v>
      </c>
      <c r="B27" s="70">
        <v>46283.925393518519</v>
      </c>
      <c r="C27" s="66" t="s">
        <v>157</v>
      </c>
      <c r="D27" s="66" t="s">
        <v>40</v>
      </c>
      <c r="E27" s="66" t="s">
        <v>41</v>
      </c>
      <c r="F27" s="66" t="s">
        <v>14</v>
      </c>
      <c r="G27" s="66" t="s">
        <v>15</v>
      </c>
      <c r="H27" s="66" t="s">
        <v>16</v>
      </c>
      <c r="I27" s="73">
        <v>309</v>
      </c>
      <c r="J27" s="73"/>
      <c r="K27" s="76"/>
    </row>
    <row r="28" spans="1:11" ht="15.6">
      <c r="A28" s="65">
        <v>68</v>
      </c>
      <c r="B28" s="70">
        <v>46283.930254629631</v>
      </c>
      <c r="C28" s="66" t="s">
        <v>165</v>
      </c>
      <c r="D28" s="66" t="s">
        <v>40</v>
      </c>
      <c r="E28" s="66" t="s">
        <v>41</v>
      </c>
      <c r="F28" s="66" t="s">
        <v>14</v>
      </c>
      <c r="G28" s="66" t="s">
        <v>15</v>
      </c>
      <c r="H28" s="66" t="s">
        <v>16</v>
      </c>
      <c r="I28" s="73">
        <v>1414</v>
      </c>
      <c r="J28" s="73"/>
      <c r="K28" s="76" t="s">
        <v>166</v>
      </c>
    </row>
    <row r="29" spans="1:11" ht="15.6">
      <c r="A29" s="65">
        <v>70</v>
      </c>
      <c r="B29" s="70">
        <v>46283.952511574076</v>
      </c>
      <c r="C29" s="66" t="s">
        <v>169</v>
      </c>
      <c r="D29" s="66" t="s">
        <v>170</v>
      </c>
      <c r="E29" s="66" t="s">
        <v>171</v>
      </c>
      <c r="F29" s="66" t="s">
        <v>14</v>
      </c>
      <c r="G29" s="66" t="s">
        <v>15</v>
      </c>
      <c r="H29" s="66" t="s">
        <v>16</v>
      </c>
      <c r="I29" s="73">
        <v>467</v>
      </c>
      <c r="J29" s="73"/>
      <c r="K29" s="76" t="s">
        <v>32</v>
      </c>
    </row>
    <row r="30" spans="1:11" ht="15.6">
      <c r="A30" s="65">
        <v>71</v>
      </c>
      <c r="B30" s="70">
        <v>46283.952800925923</v>
      </c>
      <c r="C30" s="66" t="s">
        <v>172</v>
      </c>
      <c r="D30" s="66" t="s">
        <v>170</v>
      </c>
      <c r="E30" s="66" t="s">
        <v>171</v>
      </c>
      <c r="F30" s="66" t="s">
        <v>14</v>
      </c>
      <c r="G30" s="66" t="s">
        <v>15</v>
      </c>
      <c r="H30" s="66" t="s">
        <v>16</v>
      </c>
      <c r="I30" s="73">
        <v>122</v>
      </c>
      <c r="J30" s="73"/>
      <c r="K30" s="76" t="s">
        <v>32</v>
      </c>
    </row>
    <row r="31" spans="1:11" ht="15.6">
      <c r="A31" s="65">
        <v>72</v>
      </c>
      <c r="B31" s="70">
        <v>46283.952881944446</v>
      </c>
      <c r="C31" s="66" t="s">
        <v>173</v>
      </c>
      <c r="D31" s="66" t="s">
        <v>170</v>
      </c>
      <c r="E31" s="66" t="s">
        <v>171</v>
      </c>
      <c r="F31" s="66" t="s">
        <v>14</v>
      </c>
      <c r="G31" s="66" t="s">
        <v>15</v>
      </c>
      <c r="H31" s="66" t="s">
        <v>16</v>
      </c>
      <c r="I31" s="73">
        <v>309</v>
      </c>
      <c r="J31" s="73"/>
      <c r="K31" s="76" t="s">
        <v>32</v>
      </c>
    </row>
    <row r="32" spans="1:11" ht="15.6">
      <c r="A32" s="65">
        <v>73</v>
      </c>
      <c r="B32" s="70">
        <v>46283.952962962961</v>
      </c>
      <c r="C32" s="66" t="s">
        <v>174</v>
      </c>
      <c r="D32" s="66" t="s">
        <v>170</v>
      </c>
      <c r="E32" s="66" t="s">
        <v>171</v>
      </c>
      <c r="F32" s="66" t="s">
        <v>14</v>
      </c>
      <c r="G32" s="66" t="s">
        <v>15</v>
      </c>
      <c r="H32" s="66" t="s">
        <v>16</v>
      </c>
      <c r="I32" s="73">
        <v>310</v>
      </c>
      <c r="J32" s="73"/>
      <c r="K32" s="76" t="s">
        <v>32</v>
      </c>
    </row>
    <row r="33" spans="1:11" ht="15.6">
      <c r="A33" s="65">
        <v>75</v>
      </c>
      <c r="B33" s="70">
        <v>46283.95416666667</v>
      </c>
      <c r="C33" s="66" t="s">
        <v>179</v>
      </c>
      <c r="D33" s="66" t="s">
        <v>170</v>
      </c>
      <c r="E33" s="66" t="s">
        <v>171</v>
      </c>
      <c r="F33" s="66" t="s">
        <v>14</v>
      </c>
      <c r="G33" s="66" t="s">
        <v>15</v>
      </c>
      <c r="H33" s="66" t="s">
        <v>16</v>
      </c>
      <c r="I33" s="73">
        <v>1030</v>
      </c>
      <c r="J33" s="73"/>
      <c r="K33" s="76" t="s">
        <v>32</v>
      </c>
    </row>
    <row r="34" spans="1:11" ht="15.6">
      <c r="A34" s="65">
        <v>76</v>
      </c>
      <c r="B34" s="70">
        <v>46283.954837962963</v>
      </c>
      <c r="C34" s="66" t="s">
        <v>180</v>
      </c>
      <c r="D34" s="66" t="s">
        <v>170</v>
      </c>
      <c r="E34" s="66" t="s">
        <v>171</v>
      </c>
      <c r="F34" s="66" t="s">
        <v>14</v>
      </c>
      <c r="G34" s="66" t="s">
        <v>15</v>
      </c>
      <c r="H34" s="66" t="s">
        <v>16</v>
      </c>
      <c r="I34" s="73">
        <v>99</v>
      </c>
      <c r="J34" s="73"/>
      <c r="K34" s="76" t="s">
        <v>181</v>
      </c>
    </row>
    <row r="35" spans="1:11" ht="15.6">
      <c r="A35" s="65">
        <v>77</v>
      </c>
      <c r="B35" s="70">
        <v>46283.956203703703</v>
      </c>
      <c r="C35" s="66" t="s">
        <v>182</v>
      </c>
      <c r="D35" s="66" t="s">
        <v>170</v>
      </c>
      <c r="E35" s="66" t="s">
        <v>171</v>
      </c>
      <c r="F35" s="66" t="s">
        <v>14</v>
      </c>
      <c r="G35" s="66" t="s">
        <v>15</v>
      </c>
      <c r="H35" s="66" t="s">
        <v>16</v>
      </c>
      <c r="I35" s="73">
        <v>123</v>
      </c>
      <c r="J35" s="73"/>
      <c r="K35" s="76" t="s">
        <v>183</v>
      </c>
    </row>
    <row r="36" spans="1:11" ht="15.6">
      <c r="A36" s="65">
        <v>81</v>
      </c>
      <c r="B36" s="70">
        <v>46283.965266203704</v>
      </c>
      <c r="C36" s="66" t="s">
        <v>190</v>
      </c>
      <c r="D36" s="66" t="s">
        <v>170</v>
      </c>
      <c r="E36" s="66" t="s">
        <v>171</v>
      </c>
      <c r="F36" s="66" t="s">
        <v>14</v>
      </c>
      <c r="G36" s="66" t="s">
        <v>15</v>
      </c>
      <c r="H36" s="66" t="s">
        <v>16</v>
      </c>
      <c r="I36" s="73">
        <v>3000</v>
      </c>
      <c r="J36" s="73"/>
      <c r="K36" s="76" t="s">
        <v>191</v>
      </c>
    </row>
    <row r="37" spans="1:11" ht="15.6">
      <c r="A37" s="65">
        <v>84</v>
      </c>
      <c r="B37" s="70">
        <v>46283.971493055556</v>
      </c>
      <c r="C37" s="66" t="s">
        <v>195</v>
      </c>
      <c r="D37" s="66" t="s">
        <v>94</v>
      </c>
      <c r="E37" s="66" t="s">
        <v>95</v>
      </c>
      <c r="F37" s="66" t="s">
        <v>14</v>
      </c>
      <c r="G37" s="66" t="s">
        <v>15</v>
      </c>
      <c r="H37" s="66" t="s">
        <v>16</v>
      </c>
      <c r="I37" s="73">
        <v>191</v>
      </c>
      <c r="J37" s="73"/>
      <c r="K37" s="76" t="s">
        <v>196</v>
      </c>
    </row>
    <row r="38" spans="1:11" ht="15.6">
      <c r="A38" s="65">
        <v>85</v>
      </c>
      <c r="B38" s="70">
        <v>46283.971886574072</v>
      </c>
      <c r="C38" s="66" t="s">
        <v>197</v>
      </c>
      <c r="D38" s="66" t="s">
        <v>198</v>
      </c>
      <c r="E38" s="66" t="s">
        <v>199</v>
      </c>
      <c r="F38" s="66" t="s">
        <v>14</v>
      </c>
      <c r="G38" s="66" t="s">
        <v>15</v>
      </c>
      <c r="H38" s="66" t="s">
        <v>16</v>
      </c>
      <c r="I38" s="73">
        <v>191</v>
      </c>
      <c r="J38" s="73"/>
      <c r="K38" s="76" t="s">
        <v>200</v>
      </c>
    </row>
    <row r="39" spans="1:11" ht="15.6">
      <c r="A39" s="65">
        <v>87</v>
      </c>
      <c r="B39" s="70">
        <v>46283.972974537035</v>
      </c>
      <c r="C39" s="66" t="s">
        <v>205</v>
      </c>
      <c r="D39" s="66" t="s">
        <v>198</v>
      </c>
      <c r="E39" s="66" t="s">
        <v>199</v>
      </c>
      <c r="F39" s="66" t="s">
        <v>14</v>
      </c>
      <c r="G39" s="66" t="s">
        <v>15</v>
      </c>
      <c r="H39" s="66" t="s">
        <v>16</v>
      </c>
      <c r="I39" s="73">
        <v>382</v>
      </c>
      <c r="J39" s="73"/>
      <c r="K39" s="76" t="s">
        <v>206</v>
      </c>
    </row>
    <row r="40" spans="1:11" ht="15.6">
      <c r="A40" s="65">
        <v>90</v>
      </c>
      <c r="B40" s="70">
        <v>46283.975243055553</v>
      </c>
      <c r="C40" s="66" t="s">
        <v>210</v>
      </c>
      <c r="D40" s="66" t="s">
        <v>198</v>
      </c>
      <c r="E40" s="66" t="s">
        <v>199</v>
      </c>
      <c r="F40" s="66" t="s">
        <v>14</v>
      </c>
      <c r="G40" s="66" t="s">
        <v>15</v>
      </c>
      <c r="H40" s="66" t="s">
        <v>16</v>
      </c>
      <c r="I40" s="73">
        <v>467</v>
      </c>
      <c r="J40" s="73"/>
      <c r="K40" s="76" t="s">
        <v>17</v>
      </c>
    </row>
    <row r="41" spans="1:11" ht="15.6">
      <c r="A41" s="65">
        <v>91</v>
      </c>
      <c r="B41" s="70">
        <v>46283.975543981483</v>
      </c>
      <c r="C41" s="66" t="s">
        <v>211</v>
      </c>
      <c r="D41" s="66" t="s">
        <v>40</v>
      </c>
      <c r="E41" s="66" t="s">
        <v>41</v>
      </c>
      <c r="F41" s="66" t="s">
        <v>14</v>
      </c>
      <c r="G41" s="66" t="s">
        <v>15</v>
      </c>
      <c r="H41" s="66" t="s">
        <v>16</v>
      </c>
      <c r="I41" s="73">
        <v>3000</v>
      </c>
      <c r="J41" s="73"/>
      <c r="K41" s="76" t="s">
        <v>17</v>
      </c>
    </row>
    <row r="42" spans="1:11" ht="15.6">
      <c r="A42" s="65">
        <v>94</v>
      </c>
      <c r="B42" s="70">
        <v>46283.9768287037</v>
      </c>
      <c r="C42" s="66" t="s">
        <v>214</v>
      </c>
      <c r="D42" s="66" t="s">
        <v>198</v>
      </c>
      <c r="E42" s="66" t="s">
        <v>199</v>
      </c>
      <c r="F42" s="66" t="s">
        <v>14</v>
      </c>
      <c r="G42" s="66" t="s">
        <v>15</v>
      </c>
      <c r="H42" s="66" t="s">
        <v>16</v>
      </c>
      <c r="I42" s="73">
        <v>99</v>
      </c>
      <c r="J42" s="73"/>
      <c r="K42" s="76" t="s">
        <v>17</v>
      </c>
    </row>
    <row r="43" spans="1:11" ht="15.6">
      <c r="A43" s="65">
        <v>97</v>
      </c>
      <c r="B43" s="70">
        <v>46283.978993055556</v>
      </c>
      <c r="C43" s="66" t="s">
        <v>218</v>
      </c>
      <c r="D43" s="66" t="s">
        <v>94</v>
      </c>
      <c r="E43" s="66" t="s">
        <v>95</v>
      </c>
      <c r="F43" s="66" t="s">
        <v>14</v>
      </c>
      <c r="G43" s="66" t="s">
        <v>15</v>
      </c>
      <c r="H43" s="66" t="s">
        <v>16</v>
      </c>
      <c r="I43" s="73">
        <v>1034</v>
      </c>
      <c r="J43" s="73"/>
      <c r="K43" s="76" t="s">
        <v>136</v>
      </c>
    </row>
    <row r="44" spans="1:11" ht="15.6">
      <c r="A44" s="65">
        <v>99</v>
      </c>
      <c r="B44" s="70">
        <v>46283.980219907404</v>
      </c>
      <c r="C44" s="66" t="s">
        <v>221</v>
      </c>
      <c r="D44" s="66" t="s">
        <v>222</v>
      </c>
      <c r="E44" s="66" t="s">
        <v>223</v>
      </c>
      <c r="F44" s="66" t="s">
        <v>14</v>
      </c>
      <c r="G44" s="66" t="s">
        <v>15</v>
      </c>
      <c r="H44" s="66" t="s">
        <v>16</v>
      </c>
      <c r="I44" s="73">
        <v>1041</v>
      </c>
      <c r="J44" s="73"/>
      <c r="K44" s="76" t="s">
        <v>224</v>
      </c>
    </row>
    <row r="45" spans="1:11" ht="15.6">
      <c r="A45" s="65">
        <v>100</v>
      </c>
      <c r="B45" s="70">
        <v>46283.980995370373</v>
      </c>
      <c r="C45" s="66" t="s">
        <v>225</v>
      </c>
      <c r="D45" s="66" t="s">
        <v>222</v>
      </c>
      <c r="E45" s="66" t="s">
        <v>223</v>
      </c>
      <c r="F45" s="66" t="s">
        <v>14</v>
      </c>
      <c r="G45" s="66" t="s">
        <v>15</v>
      </c>
      <c r="H45" s="66" t="s">
        <v>16</v>
      </c>
      <c r="I45" s="73">
        <v>1041</v>
      </c>
      <c r="J45" s="73"/>
      <c r="K45" s="76" t="s">
        <v>224</v>
      </c>
    </row>
    <row r="46" spans="1:11" ht="15.6">
      <c r="A46" s="65">
        <v>101</v>
      </c>
      <c r="B46" s="70">
        <v>46283.981736111113</v>
      </c>
      <c r="C46" s="66" t="s">
        <v>226</v>
      </c>
      <c r="D46" s="66" t="s">
        <v>222</v>
      </c>
      <c r="E46" s="66" t="s">
        <v>223</v>
      </c>
      <c r="F46" s="66" t="s">
        <v>14</v>
      </c>
      <c r="G46" s="66" t="s">
        <v>15</v>
      </c>
      <c r="H46" s="66" t="s">
        <v>16</v>
      </c>
      <c r="I46" s="73">
        <v>1077</v>
      </c>
      <c r="J46" s="73"/>
      <c r="K46" s="76"/>
    </row>
    <row r="47" spans="1:11" ht="15.6">
      <c r="A47" s="65">
        <v>102</v>
      </c>
      <c r="B47" s="70">
        <v>46283.981770833336</v>
      </c>
      <c r="C47" s="66" t="s">
        <v>227</v>
      </c>
      <c r="D47" s="66" t="s">
        <v>222</v>
      </c>
      <c r="E47" s="66" t="s">
        <v>223</v>
      </c>
      <c r="F47" s="66" t="s">
        <v>14</v>
      </c>
      <c r="G47" s="66" t="s">
        <v>15</v>
      </c>
      <c r="H47" s="66" t="s">
        <v>16</v>
      </c>
      <c r="I47" s="73">
        <v>1077</v>
      </c>
      <c r="J47" s="73"/>
      <c r="K47" s="76" t="s">
        <v>228</v>
      </c>
    </row>
    <row r="48" spans="1:11" ht="15.6">
      <c r="A48" s="65">
        <v>103</v>
      </c>
      <c r="B48" s="70">
        <v>46283.982881944445</v>
      </c>
      <c r="C48" s="66" t="s">
        <v>229</v>
      </c>
      <c r="D48" s="66" t="s">
        <v>222</v>
      </c>
      <c r="E48" s="66" t="s">
        <v>223</v>
      </c>
      <c r="F48" s="66" t="s">
        <v>14</v>
      </c>
      <c r="G48" s="66" t="s">
        <v>15</v>
      </c>
      <c r="H48" s="66" t="s">
        <v>16</v>
      </c>
      <c r="I48" s="73">
        <v>1030</v>
      </c>
      <c r="J48" s="73"/>
      <c r="K48" s="76"/>
    </row>
    <row r="49" spans="1:11" ht="15.6">
      <c r="A49" s="65">
        <v>104</v>
      </c>
      <c r="B49" s="70">
        <v>46283.982916666668</v>
      </c>
      <c r="C49" s="66" t="s">
        <v>230</v>
      </c>
      <c r="D49" s="66" t="s">
        <v>222</v>
      </c>
      <c r="E49" s="66" t="s">
        <v>223</v>
      </c>
      <c r="F49" s="66" t="s">
        <v>14</v>
      </c>
      <c r="G49" s="66" t="s">
        <v>15</v>
      </c>
      <c r="H49" s="66" t="s">
        <v>16</v>
      </c>
      <c r="I49" s="73">
        <v>1030</v>
      </c>
      <c r="J49" s="73"/>
      <c r="K49" s="76" t="s">
        <v>231</v>
      </c>
    </row>
    <row r="50" spans="1:11" ht="15.6">
      <c r="A50" s="65">
        <v>107</v>
      </c>
      <c r="B50" s="70">
        <v>46283.984201388892</v>
      </c>
      <c r="C50" s="66" t="s">
        <v>236</v>
      </c>
      <c r="D50" s="66" t="s">
        <v>222</v>
      </c>
      <c r="E50" s="66" t="s">
        <v>223</v>
      </c>
      <c r="F50" s="66" t="s">
        <v>14</v>
      </c>
      <c r="G50" s="66" t="s">
        <v>15</v>
      </c>
      <c r="H50" s="66" t="s">
        <v>16</v>
      </c>
      <c r="I50" s="73">
        <v>1041</v>
      </c>
      <c r="J50" s="73"/>
      <c r="K50" s="76"/>
    </row>
    <row r="51" spans="1:11" ht="15.6">
      <c r="A51" s="65">
        <v>108</v>
      </c>
      <c r="B51" s="70">
        <v>46283.984236111108</v>
      </c>
      <c r="C51" s="66" t="s">
        <v>237</v>
      </c>
      <c r="D51" s="66" t="s">
        <v>222</v>
      </c>
      <c r="E51" s="66" t="s">
        <v>223</v>
      </c>
      <c r="F51" s="66" t="s">
        <v>14</v>
      </c>
      <c r="G51" s="66" t="s">
        <v>15</v>
      </c>
      <c r="H51" s="66" t="s">
        <v>16</v>
      </c>
      <c r="I51" s="73">
        <v>1041</v>
      </c>
      <c r="J51" s="73"/>
      <c r="K51" s="76"/>
    </row>
    <row r="52" spans="1:11" ht="15.6">
      <c r="A52" s="65">
        <v>109</v>
      </c>
      <c r="B52" s="70">
        <v>46283.985613425924</v>
      </c>
      <c r="C52" s="66" t="s">
        <v>238</v>
      </c>
      <c r="D52" s="66" t="s">
        <v>222</v>
      </c>
      <c r="E52" s="66" t="s">
        <v>223</v>
      </c>
      <c r="F52" s="66" t="s">
        <v>14</v>
      </c>
      <c r="G52" s="66" t="s">
        <v>15</v>
      </c>
      <c r="H52" s="66" t="s">
        <v>16</v>
      </c>
      <c r="I52" s="73">
        <v>1058</v>
      </c>
      <c r="J52" s="73"/>
      <c r="K52" s="76"/>
    </row>
    <row r="53" spans="1:11" ht="15.6">
      <c r="A53" s="65">
        <v>110</v>
      </c>
      <c r="B53" s="70">
        <v>46283.985648148147</v>
      </c>
      <c r="C53" s="66" t="s">
        <v>239</v>
      </c>
      <c r="D53" s="66" t="s">
        <v>222</v>
      </c>
      <c r="E53" s="66" t="s">
        <v>223</v>
      </c>
      <c r="F53" s="66" t="s">
        <v>14</v>
      </c>
      <c r="G53" s="66" t="s">
        <v>15</v>
      </c>
      <c r="H53" s="66" t="s">
        <v>16</v>
      </c>
      <c r="I53" s="73">
        <v>1058</v>
      </c>
      <c r="J53" s="73"/>
      <c r="K53" s="76" t="s">
        <v>240</v>
      </c>
    </row>
    <row r="54" spans="1:11" ht="15.6">
      <c r="A54" s="65">
        <v>115</v>
      </c>
      <c r="B54" s="70">
        <v>46283.989884259259</v>
      </c>
      <c r="C54" s="66" t="s">
        <v>248</v>
      </c>
      <c r="D54" s="66" t="s">
        <v>198</v>
      </c>
      <c r="E54" s="66" t="s">
        <v>199</v>
      </c>
      <c r="F54" s="66" t="s">
        <v>14</v>
      </c>
      <c r="G54" s="66" t="s">
        <v>15</v>
      </c>
      <c r="H54" s="66" t="s">
        <v>16</v>
      </c>
      <c r="I54" s="73">
        <v>467</v>
      </c>
      <c r="J54" s="73"/>
      <c r="K54" s="76" t="s">
        <v>32</v>
      </c>
    </row>
    <row r="55" spans="1:11" ht="15.6">
      <c r="A55" s="65">
        <v>116</v>
      </c>
      <c r="B55" s="70">
        <v>46283.990289351852</v>
      </c>
      <c r="C55" s="66" t="s">
        <v>249</v>
      </c>
      <c r="D55" s="66" t="s">
        <v>198</v>
      </c>
      <c r="E55" s="66" t="s">
        <v>199</v>
      </c>
      <c r="F55" s="66" t="s">
        <v>14</v>
      </c>
      <c r="G55" s="66" t="s">
        <v>15</v>
      </c>
      <c r="H55" s="66" t="s">
        <v>16</v>
      </c>
      <c r="I55" s="73">
        <v>1041</v>
      </c>
      <c r="J55" s="73"/>
      <c r="K55" s="76" t="s">
        <v>250</v>
      </c>
    </row>
    <row r="56" spans="1:11" ht="15.6">
      <c r="A56" s="65">
        <v>117</v>
      </c>
      <c r="B56" s="70">
        <v>46283.990671296298</v>
      </c>
      <c r="C56" s="66" t="s">
        <v>251</v>
      </c>
      <c r="D56" s="66" t="s">
        <v>198</v>
      </c>
      <c r="E56" s="66" t="s">
        <v>199</v>
      </c>
      <c r="F56" s="66" t="s">
        <v>14</v>
      </c>
      <c r="G56" s="66" t="s">
        <v>15</v>
      </c>
      <c r="H56" s="66" t="s">
        <v>16</v>
      </c>
      <c r="I56" s="73">
        <v>1030</v>
      </c>
      <c r="J56" s="73"/>
      <c r="K56" s="76" t="s">
        <v>252</v>
      </c>
    </row>
    <row r="57" spans="1:11" ht="15.6">
      <c r="A57" s="65">
        <v>133</v>
      </c>
      <c r="B57" s="70">
        <v>46283.99726851852</v>
      </c>
      <c r="C57" s="66" t="s">
        <v>279</v>
      </c>
      <c r="D57" s="66" t="s">
        <v>48</v>
      </c>
      <c r="E57" s="66" t="s">
        <v>49</v>
      </c>
      <c r="F57" s="66" t="s">
        <v>14</v>
      </c>
      <c r="G57" s="66" t="s">
        <v>15</v>
      </c>
      <c r="H57" s="66" t="s">
        <v>16</v>
      </c>
      <c r="I57" s="73">
        <v>248</v>
      </c>
      <c r="J57" s="73"/>
      <c r="K57" s="76" t="s">
        <v>280</v>
      </c>
    </row>
    <row r="58" spans="1:11" ht="15.6">
      <c r="A58" s="65">
        <v>139</v>
      </c>
      <c r="B58" s="70">
        <v>46284.011620370373</v>
      </c>
      <c r="C58" s="66" t="s">
        <v>289</v>
      </c>
      <c r="D58" s="66" t="s">
        <v>222</v>
      </c>
      <c r="E58" s="66" t="s">
        <v>223</v>
      </c>
      <c r="F58" s="66" t="s">
        <v>14</v>
      </c>
      <c r="G58" s="66" t="s">
        <v>15</v>
      </c>
      <c r="H58" s="66" t="s">
        <v>16</v>
      </c>
      <c r="I58" s="73">
        <v>1041</v>
      </c>
      <c r="J58" s="73"/>
      <c r="K58" s="76"/>
    </row>
    <row r="59" spans="1:11" ht="15.6">
      <c r="A59" s="65">
        <v>140</v>
      </c>
      <c r="B59" s="70">
        <v>46284.011655092596</v>
      </c>
      <c r="C59" s="66" t="s">
        <v>290</v>
      </c>
      <c r="D59" s="66" t="s">
        <v>222</v>
      </c>
      <c r="E59" s="66" t="s">
        <v>223</v>
      </c>
      <c r="F59" s="66" t="s">
        <v>14</v>
      </c>
      <c r="G59" s="66" t="s">
        <v>15</v>
      </c>
      <c r="H59" s="66" t="s">
        <v>16</v>
      </c>
      <c r="I59" s="73">
        <v>1041</v>
      </c>
      <c r="J59" s="73"/>
      <c r="K59" s="76" t="s">
        <v>291</v>
      </c>
    </row>
    <row r="60" spans="1:11" ht="15.6">
      <c r="A60" s="65">
        <v>141</v>
      </c>
      <c r="B60" s="70">
        <v>46284.014293981483</v>
      </c>
      <c r="C60" s="66" t="s">
        <v>292</v>
      </c>
      <c r="D60" s="66" t="s">
        <v>94</v>
      </c>
      <c r="E60" s="66" t="s">
        <v>95</v>
      </c>
      <c r="F60" s="66" t="s">
        <v>14</v>
      </c>
      <c r="G60" s="66" t="s">
        <v>15</v>
      </c>
      <c r="H60" s="66" t="s">
        <v>16</v>
      </c>
      <c r="I60" s="73">
        <v>191</v>
      </c>
      <c r="J60" s="73"/>
      <c r="K60" s="76" t="s">
        <v>293</v>
      </c>
    </row>
    <row r="61" spans="1:11" ht="15.6">
      <c r="A61" s="65">
        <v>143</v>
      </c>
      <c r="B61" s="70">
        <v>46284.018483796295</v>
      </c>
      <c r="C61" s="66" t="s">
        <v>298</v>
      </c>
      <c r="D61" s="66" t="s">
        <v>222</v>
      </c>
      <c r="E61" s="66" t="s">
        <v>223</v>
      </c>
      <c r="F61" s="66" t="s">
        <v>14</v>
      </c>
      <c r="G61" s="66" t="s">
        <v>15</v>
      </c>
      <c r="H61" s="66" t="s">
        <v>16</v>
      </c>
      <c r="I61" s="73">
        <v>467</v>
      </c>
      <c r="J61" s="73"/>
      <c r="K61" s="76" t="s">
        <v>299</v>
      </c>
    </row>
    <row r="62" spans="1:11" ht="15.6">
      <c r="A62" s="65">
        <v>144</v>
      </c>
      <c r="B62" s="70">
        <v>46284.018726851849</v>
      </c>
      <c r="C62" s="66" t="s">
        <v>300</v>
      </c>
      <c r="D62" s="66" t="s">
        <v>222</v>
      </c>
      <c r="E62" s="66" t="s">
        <v>223</v>
      </c>
      <c r="F62" s="66" t="s">
        <v>14</v>
      </c>
      <c r="G62" s="66" t="s">
        <v>15</v>
      </c>
      <c r="H62" s="66" t="s">
        <v>16</v>
      </c>
      <c r="I62" s="73">
        <v>467</v>
      </c>
      <c r="J62" s="73"/>
      <c r="K62" s="76"/>
    </row>
    <row r="63" spans="1:11" ht="15.6">
      <c r="A63" s="65">
        <v>145</v>
      </c>
      <c r="B63" s="70">
        <v>46284.022268518522</v>
      </c>
      <c r="C63" s="66" t="s">
        <v>301</v>
      </c>
      <c r="D63" s="66" t="s">
        <v>222</v>
      </c>
      <c r="E63" s="66" t="s">
        <v>223</v>
      </c>
      <c r="F63" s="66" t="s">
        <v>14</v>
      </c>
      <c r="G63" s="66" t="s">
        <v>15</v>
      </c>
      <c r="H63" s="66" t="s">
        <v>16</v>
      </c>
      <c r="I63" s="73">
        <v>1041</v>
      </c>
      <c r="J63" s="73"/>
      <c r="K63" s="76"/>
    </row>
    <row r="64" spans="1:11" ht="15.6">
      <c r="A64" s="65">
        <v>146</v>
      </c>
      <c r="B64" s="70">
        <v>46284.022326388891</v>
      </c>
      <c r="C64" s="66" t="s">
        <v>302</v>
      </c>
      <c r="D64" s="66" t="s">
        <v>222</v>
      </c>
      <c r="E64" s="66" t="s">
        <v>223</v>
      </c>
      <c r="F64" s="66" t="s">
        <v>14</v>
      </c>
      <c r="G64" s="66" t="s">
        <v>15</v>
      </c>
      <c r="H64" s="66" t="s">
        <v>16</v>
      </c>
      <c r="I64" s="73">
        <v>1041</v>
      </c>
      <c r="J64" s="73"/>
      <c r="K64" s="76"/>
    </row>
    <row r="65" spans="1:11" ht="15.6">
      <c r="A65" s="65">
        <v>147</v>
      </c>
      <c r="B65" s="70">
        <v>46284.024768518517</v>
      </c>
      <c r="C65" s="66" t="s">
        <v>303</v>
      </c>
      <c r="D65" s="66" t="s">
        <v>304</v>
      </c>
      <c r="E65" s="66" t="s">
        <v>305</v>
      </c>
      <c r="F65" s="66" t="s">
        <v>14</v>
      </c>
      <c r="G65" s="66" t="s">
        <v>15</v>
      </c>
      <c r="H65" s="66" t="s">
        <v>16</v>
      </c>
      <c r="I65" s="73">
        <v>1277</v>
      </c>
      <c r="J65" s="73"/>
      <c r="K65" s="76" t="s">
        <v>17</v>
      </c>
    </row>
    <row r="66" spans="1:11" ht="15.6">
      <c r="A66" s="65">
        <v>148</v>
      </c>
      <c r="B66" s="70">
        <v>46284.026863425926</v>
      </c>
      <c r="C66" s="66" t="s">
        <v>306</v>
      </c>
      <c r="D66" s="66" t="s">
        <v>304</v>
      </c>
      <c r="E66" s="66" t="s">
        <v>305</v>
      </c>
      <c r="F66" s="66" t="s">
        <v>14</v>
      </c>
      <c r="G66" s="66" t="s">
        <v>15</v>
      </c>
      <c r="H66" s="66" t="s">
        <v>16</v>
      </c>
      <c r="I66" s="73">
        <v>1000</v>
      </c>
      <c r="J66" s="73"/>
      <c r="K66" s="76" t="s">
        <v>307</v>
      </c>
    </row>
    <row r="67" spans="1:11" ht="15.6">
      <c r="A67" s="65">
        <v>149</v>
      </c>
      <c r="B67" s="70">
        <v>46284.029236111113</v>
      </c>
      <c r="C67" s="66" t="s">
        <v>308</v>
      </c>
      <c r="D67" s="66" t="s">
        <v>112</v>
      </c>
      <c r="E67" s="66" t="s">
        <v>113</v>
      </c>
      <c r="F67" s="66" t="s">
        <v>14</v>
      </c>
      <c r="G67" s="66" t="s">
        <v>15</v>
      </c>
      <c r="H67" s="66" t="s">
        <v>16</v>
      </c>
      <c r="I67" s="73">
        <v>100</v>
      </c>
      <c r="J67" s="73"/>
      <c r="K67" s="76" t="s">
        <v>309</v>
      </c>
    </row>
    <row r="68" spans="1:11" ht="15.6">
      <c r="A68" s="65">
        <v>151</v>
      </c>
      <c r="B68" s="70">
        <v>46284.031539351854</v>
      </c>
      <c r="C68" s="66" t="s">
        <v>312</v>
      </c>
      <c r="D68" s="66" t="s">
        <v>313</v>
      </c>
      <c r="E68" s="66" t="s">
        <v>314</v>
      </c>
      <c r="F68" s="66" t="s">
        <v>14</v>
      </c>
      <c r="G68" s="66" t="s">
        <v>15</v>
      </c>
      <c r="H68" s="66" t="s">
        <v>16</v>
      </c>
      <c r="I68" s="73">
        <v>1054</v>
      </c>
      <c r="J68" s="73"/>
      <c r="K68" s="76" t="s">
        <v>315</v>
      </c>
    </row>
    <row r="69" spans="1:11" ht="15.6">
      <c r="A69" s="65">
        <v>152</v>
      </c>
      <c r="B69" s="70">
        <v>46284.034641203703</v>
      </c>
      <c r="C69" s="66" t="s">
        <v>316</v>
      </c>
      <c r="D69" s="66" t="s">
        <v>313</v>
      </c>
      <c r="E69" s="66" t="s">
        <v>314</v>
      </c>
      <c r="F69" s="66" t="s">
        <v>14</v>
      </c>
      <c r="G69" s="66" t="s">
        <v>15</v>
      </c>
      <c r="H69" s="66" t="s">
        <v>16</v>
      </c>
      <c r="I69" s="73">
        <v>1444</v>
      </c>
      <c r="J69" s="73"/>
      <c r="K69" s="76" t="s">
        <v>317</v>
      </c>
    </row>
    <row r="70" spans="1:11" ht="15.6">
      <c r="A70" s="65">
        <v>153</v>
      </c>
      <c r="B70" s="70">
        <v>46284.036527777775</v>
      </c>
      <c r="C70" s="66" t="s">
        <v>318</v>
      </c>
      <c r="D70" s="66" t="s">
        <v>313</v>
      </c>
      <c r="E70" s="66" t="s">
        <v>314</v>
      </c>
      <c r="F70" s="66" t="s">
        <v>14</v>
      </c>
      <c r="G70" s="66" t="s">
        <v>15</v>
      </c>
      <c r="H70" s="66" t="s">
        <v>16</v>
      </c>
      <c r="I70" s="73">
        <v>1782</v>
      </c>
      <c r="J70" s="73"/>
      <c r="K70" s="76" t="s">
        <v>319</v>
      </c>
    </row>
    <row r="71" spans="1:11" ht="15.6">
      <c r="A71" s="65">
        <v>154</v>
      </c>
      <c r="B71" s="70">
        <v>46284.038564814815</v>
      </c>
      <c r="C71" s="66" t="s">
        <v>320</v>
      </c>
      <c r="D71" s="66" t="s">
        <v>313</v>
      </c>
      <c r="E71" s="66" t="s">
        <v>314</v>
      </c>
      <c r="F71" s="66" t="s">
        <v>14</v>
      </c>
      <c r="G71" s="66" t="s">
        <v>15</v>
      </c>
      <c r="H71" s="66" t="s">
        <v>16</v>
      </c>
      <c r="I71" s="73">
        <v>1064</v>
      </c>
      <c r="J71" s="73"/>
      <c r="K71" s="76"/>
    </row>
    <row r="72" spans="1:11" ht="15.6">
      <c r="A72" s="65">
        <v>155</v>
      </c>
      <c r="B72" s="70">
        <v>46284.040729166663</v>
      </c>
      <c r="C72" s="66" t="s">
        <v>321</v>
      </c>
      <c r="D72" s="66" t="s">
        <v>313</v>
      </c>
      <c r="E72" s="66" t="s">
        <v>314</v>
      </c>
      <c r="F72" s="66" t="s">
        <v>14</v>
      </c>
      <c r="G72" s="66" t="s">
        <v>15</v>
      </c>
      <c r="H72" s="66" t="s">
        <v>16</v>
      </c>
      <c r="I72" s="73">
        <v>1222</v>
      </c>
      <c r="J72" s="73"/>
      <c r="K72" s="76"/>
    </row>
    <row r="73" spans="1:11" ht="15.6">
      <c r="A73" s="65">
        <v>156</v>
      </c>
      <c r="B73" s="70">
        <v>46284.04310185185</v>
      </c>
      <c r="C73" s="66" t="s">
        <v>322</v>
      </c>
      <c r="D73" s="66" t="s">
        <v>313</v>
      </c>
      <c r="E73" s="66" t="s">
        <v>314</v>
      </c>
      <c r="F73" s="66" t="s">
        <v>14</v>
      </c>
      <c r="G73" s="66" t="s">
        <v>15</v>
      </c>
      <c r="H73" s="66" t="s">
        <v>16</v>
      </c>
      <c r="I73" s="73">
        <v>1521</v>
      </c>
      <c r="J73" s="73"/>
      <c r="K73" s="76"/>
    </row>
    <row r="74" spans="1:11" ht="15.6">
      <c r="A74" s="65">
        <v>157</v>
      </c>
      <c r="B74" s="70">
        <v>46284.044548611113</v>
      </c>
      <c r="C74" s="66" t="s">
        <v>323</v>
      </c>
      <c r="D74" s="66" t="s">
        <v>324</v>
      </c>
      <c r="E74" s="66" t="s">
        <v>325</v>
      </c>
      <c r="F74" s="66" t="s">
        <v>14</v>
      </c>
      <c r="G74" s="66" t="s">
        <v>15</v>
      </c>
      <c r="H74" s="66" t="s">
        <v>16</v>
      </c>
      <c r="I74" s="73">
        <v>477</v>
      </c>
      <c r="J74" s="73"/>
      <c r="K74" s="76" t="s">
        <v>326</v>
      </c>
    </row>
    <row r="75" spans="1:11" ht="15.6">
      <c r="A75" s="65">
        <v>158</v>
      </c>
      <c r="B75" s="70">
        <v>46284.045335648145</v>
      </c>
      <c r="C75" s="66" t="s">
        <v>327</v>
      </c>
      <c r="D75" s="66" t="s">
        <v>324</v>
      </c>
      <c r="E75" s="66" t="s">
        <v>325</v>
      </c>
      <c r="F75" s="66" t="s">
        <v>14</v>
      </c>
      <c r="G75" s="66" t="s">
        <v>15</v>
      </c>
      <c r="H75" s="66" t="s">
        <v>16</v>
      </c>
      <c r="I75" s="73">
        <v>477</v>
      </c>
      <c r="J75" s="73"/>
      <c r="K75" s="76" t="s">
        <v>328</v>
      </c>
    </row>
    <row r="76" spans="1:11" ht="15.6">
      <c r="A76" s="65">
        <v>159</v>
      </c>
      <c r="B76" s="70">
        <v>46284.047754629632</v>
      </c>
      <c r="C76" s="66" t="s">
        <v>329</v>
      </c>
      <c r="D76" s="66" t="s">
        <v>313</v>
      </c>
      <c r="E76" s="66" t="s">
        <v>314</v>
      </c>
      <c r="F76" s="66" t="s">
        <v>14</v>
      </c>
      <c r="G76" s="66" t="s">
        <v>15</v>
      </c>
      <c r="H76" s="66" t="s">
        <v>16</v>
      </c>
      <c r="I76" s="73">
        <v>1390</v>
      </c>
      <c r="J76" s="73"/>
      <c r="K76" s="76" t="s">
        <v>330</v>
      </c>
    </row>
    <row r="77" spans="1:11" ht="15.6">
      <c r="A77" s="65">
        <v>160</v>
      </c>
      <c r="B77" s="70">
        <v>46284.049756944441</v>
      </c>
      <c r="C77" s="66" t="s">
        <v>331</v>
      </c>
      <c r="D77" s="66" t="s">
        <v>332</v>
      </c>
      <c r="E77" s="66" t="s">
        <v>333</v>
      </c>
      <c r="F77" s="66" t="s">
        <v>14</v>
      </c>
      <c r="G77" s="66" t="s">
        <v>15</v>
      </c>
      <c r="H77" s="66" t="s">
        <v>16</v>
      </c>
      <c r="I77" s="73">
        <v>467</v>
      </c>
      <c r="J77" s="73"/>
      <c r="K77" s="76" t="s">
        <v>17</v>
      </c>
    </row>
    <row r="78" spans="1:11" ht="15.6">
      <c r="A78" s="65">
        <v>162</v>
      </c>
      <c r="B78" s="70">
        <v>46284.05096064815</v>
      </c>
      <c r="C78" s="66" t="s">
        <v>335</v>
      </c>
      <c r="D78" s="66" t="s">
        <v>332</v>
      </c>
      <c r="E78" s="66" t="s">
        <v>333</v>
      </c>
      <c r="F78" s="66" t="s">
        <v>14</v>
      </c>
      <c r="G78" s="66" t="s">
        <v>15</v>
      </c>
      <c r="H78" s="66" t="s">
        <v>16</v>
      </c>
      <c r="I78" s="73">
        <v>121</v>
      </c>
      <c r="J78" s="73"/>
      <c r="K78" s="76" t="s">
        <v>17</v>
      </c>
    </row>
    <row r="79" spans="1:11" ht="15.6">
      <c r="A79" s="65">
        <v>164</v>
      </c>
      <c r="B79" s="70">
        <v>46284.052754629629</v>
      </c>
      <c r="C79" s="66" t="s">
        <v>337</v>
      </c>
      <c r="D79" s="66" t="s">
        <v>324</v>
      </c>
      <c r="E79" s="66" t="s">
        <v>325</v>
      </c>
      <c r="F79" s="66" t="s">
        <v>14</v>
      </c>
      <c r="G79" s="66" t="s">
        <v>15</v>
      </c>
      <c r="H79" s="66" t="s">
        <v>16</v>
      </c>
      <c r="I79" s="73">
        <v>266</v>
      </c>
      <c r="J79" s="73"/>
      <c r="K79" s="76" t="s">
        <v>328</v>
      </c>
    </row>
    <row r="80" spans="1:11" ht="15.6">
      <c r="A80" s="65">
        <v>166</v>
      </c>
      <c r="B80" s="70">
        <v>46284.054120370369</v>
      </c>
      <c r="C80" s="66" t="s">
        <v>340</v>
      </c>
      <c r="D80" s="66" t="s">
        <v>313</v>
      </c>
      <c r="E80" s="66" t="s">
        <v>314</v>
      </c>
      <c r="F80" s="66" t="s">
        <v>14</v>
      </c>
      <c r="G80" s="66" t="s">
        <v>15</v>
      </c>
      <c r="H80" s="66" t="s">
        <v>16</v>
      </c>
      <c r="I80" s="73">
        <v>1079</v>
      </c>
      <c r="J80" s="73"/>
      <c r="K80" s="76"/>
    </row>
    <row r="81" spans="1:11" ht="15.6">
      <c r="A81" s="65">
        <v>167</v>
      </c>
      <c r="B81" s="70">
        <v>46284.055393518516</v>
      </c>
      <c r="C81" s="66" t="s">
        <v>341</v>
      </c>
      <c r="D81" s="66" t="s">
        <v>313</v>
      </c>
      <c r="E81" s="66" t="s">
        <v>314</v>
      </c>
      <c r="F81" s="66" t="s">
        <v>14</v>
      </c>
      <c r="G81" s="66" t="s">
        <v>15</v>
      </c>
      <c r="H81" s="66" t="s">
        <v>16</v>
      </c>
      <c r="I81" s="73">
        <v>1515</v>
      </c>
      <c r="J81" s="73"/>
      <c r="K81" s="76"/>
    </row>
    <row r="82" spans="1:11" ht="15.6">
      <c r="A82" s="65">
        <v>168</v>
      </c>
      <c r="B82" s="70">
        <v>46284.057268518518</v>
      </c>
      <c r="C82" s="66" t="s">
        <v>342</v>
      </c>
      <c r="D82" s="66" t="s">
        <v>324</v>
      </c>
      <c r="E82" s="66" t="s">
        <v>325</v>
      </c>
      <c r="F82" s="66" t="s">
        <v>14</v>
      </c>
      <c r="G82" s="66" t="s">
        <v>15</v>
      </c>
      <c r="H82" s="66" t="s">
        <v>16</v>
      </c>
      <c r="I82" s="73">
        <v>500</v>
      </c>
      <c r="J82" s="73"/>
      <c r="K82" s="76" t="s">
        <v>328</v>
      </c>
    </row>
    <row r="83" spans="1:11" ht="15.6">
      <c r="A83" s="65">
        <v>170</v>
      </c>
      <c r="B83" s="70">
        <v>46284.061527777776</v>
      </c>
      <c r="C83" s="66" t="s">
        <v>344</v>
      </c>
      <c r="D83" s="66" t="s">
        <v>313</v>
      </c>
      <c r="E83" s="66" t="s">
        <v>314</v>
      </c>
      <c r="F83" s="66" t="s">
        <v>14</v>
      </c>
      <c r="G83" s="66" t="s">
        <v>15</v>
      </c>
      <c r="H83" s="66" t="s">
        <v>16</v>
      </c>
      <c r="I83" s="73">
        <v>2999</v>
      </c>
      <c r="J83" s="73"/>
      <c r="K83" s="76"/>
    </row>
    <row r="84" spans="1:11" ht="15.6">
      <c r="A84" s="65">
        <v>171</v>
      </c>
      <c r="B84" s="70">
        <v>46284.061585648145</v>
      </c>
      <c r="C84" s="66" t="s">
        <v>345</v>
      </c>
      <c r="D84" s="66" t="s">
        <v>222</v>
      </c>
      <c r="E84" s="66" t="s">
        <v>223</v>
      </c>
      <c r="F84" s="66" t="s">
        <v>14</v>
      </c>
      <c r="G84" s="66" t="s">
        <v>15</v>
      </c>
      <c r="H84" s="66" t="s">
        <v>16</v>
      </c>
      <c r="I84" s="73">
        <v>2999</v>
      </c>
      <c r="J84" s="73"/>
      <c r="K84" s="76" t="s">
        <v>346</v>
      </c>
    </row>
    <row r="85" spans="1:11" ht="15.6">
      <c r="A85" s="67">
        <v>173</v>
      </c>
      <c r="B85" s="71">
        <v>46284.065694444442</v>
      </c>
      <c r="C85" s="68" t="s">
        <v>348</v>
      </c>
      <c r="D85" s="68" t="s">
        <v>313</v>
      </c>
      <c r="E85" s="68" t="s">
        <v>314</v>
      </c>
      <c r="F85" s="68" t="s">
        <v>14</v>
      </c>
      <c r="G85" s="68" t="s">
        <v>15</v>
      </c>
      <c r="H85" s="68" t="s">
        <v>16</v>
      </c>
      <c r="I85" s="74">
        <v>499</v>
      </c>
      <c r="J85" s="74"/>
      <c r="K85" s="77" t="s">
        <v>349</v>
      </c>
    </row>
    <row r="86" spans="1:11" ht="15.6">
      <c r="A86" s="59" t="s">
        <v>350</v>
      </c>
      <c r="B86" s="60"/>
      <c r="C86" s="60"/>
      <c r="D86" s="60"/>
      <c r="E86" s="60"/>
      <c r="F86" s="60"/>
      <c r="G86" s="60"/>
      <c r="H86" s="60"/>
      <c r="I86" s="61">
        <f>SUM(I2:I85)</f>
        <v>59134</v>
      </c>
      <c r="J86" s="61">
        <f>SUM(J2:J85)</f>
        <v>0</v>
      </c>
      <c r="K86" s="6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/>
  </sheetViews>
  <sheetFormatPr defaultRowHeight="13.8"/>
  <cols>
    <col min="1" max="1" width="8" customWidth="1"/>
    <col min="2" max="2" width="21" customWidth="1"/>
    <col min="3" max="3" width="13" customWidth="1"/>
    <col min="4" max="4" width="21" customWidth="1"/>
    <col min="5" max="5" width="19" customWidth="1"/>
    <col min="6" max="6" width="12" customWidth="1"/>
    <col min="7" max="7" width="19" customWidth="1"/>
    <col min="8" max="8" width="13" customWidth="1"/>
    <col min="9" max="10" width="12" customWidth="1"/>
    <col min="11" max="11" width="48" customWidth="1"/>
  </cols>
  <sheetData>
    <row r="1" spans="1:11" ht="17.850000000000001" customHeight="1">
      <c r="A1" s="41" t="s">
        <v>351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</row>
    <row r="2" spans="1:11" ht="15.6">
      <c r="A2" s="93">
        <v>3</v>
      </c>
      <c r="B2" s="99">
        <v>46283.854363425926</v>
      </c>
      <c r="C2" s="94" t="s">
        <v>22</v>
      </c>
      <c r="D2" s="94" t="s">
        <v>12</v>
      </c>
      <c r="E2" s="94" t="s">
        <v>13</v>
      </c>
      <c r="F2" s="94" t="s">
        <v>14</v>
      </c>
      <c r="G2" s="94" t="s">
        <v>15</v>
      </c>
      <c r="H2" s="94" t="s">
        <v>16</v>
      </c>
      <c r="I2" s="102">
        <v>10</v>
      </c>
      <c r="J2" s="102"/>
      <c r="K2" s="105" t="s">
        <v>23</v>
      </c>
    </row>
    <row r="3" spans="1:11" ht="15.6">
      <c r="A3" s="95">
        <v>4</v>
      </c>
      <c r="B3" s="100">
        <v>46283.854953703703</v>
      </c>
      <c r="C3" s="96" t="s">
        <v>24</v>
      </c>
      <c r="D3" s="96" t="s">
        <v>25</v>
      </c>
      <c r="E3" s="96" t="s">
        <v>26</v>
      </c>
      <c r="F3" s="96" t="s">
        <v>14</v>
      </c>
      <c r="G3" s="96" t="s">
        <v>15</v>
      </c>
      <c r="H3" s="96" t="s">
        <v>16</v>
      </c>
      <c r="I3" s="103">
        <v>100</v>
      </c>
      <c r="J3" s="103"/>
      <c r="K3" s="106" t="s">
        <v>27</v>
      </c>
    </row>
    <row r="4" spans="1:11" ht="15.6">
      <c r="A4" s="95">
        <v>5</v>
      </c>
      <c r="B4" s="100">
        <v>46283.855520833335</v>
      </c>
      <c r="C4" s="96" t="s">
        <v>28</v>
      </c>
      <c r="D4" s="96" t="s">
        <v>12</v>
      </c>
      <c r="E4" s="96" t="s">
        <v>13</v>
      </c>
      <c r="F4" s="96" t="s">
        <v>14</v>
      </c>
      <c r="G4" s="96" t="s">
        <v>15</v>
      </c>
      <c r="H4" s="96" t="s">
        <v>16</v>
      </c>
      <c r="I4" s="103">
        <v>10</v>
      </c>
      <c r="J4" s="103"/>
      <c r="K4" s="106" t="s">
        <v>27</v>
      </c>
    </row>
    <row r="5" spans="1:11" ht="15.6">
      <c r="A5" s="95">
        <v>7</v>
      </c>
      <c r="B5" s="100">
        <v>46283.855891203704</v>
      </c>
      <c r="C5" s="96" t="s">
        <v>33</v>
      </c>
      <c r="D5" s="96" t="s">
        <v>34</v>
      </c>
      <c r="E5" s="96" t="s">
        <v>35</v>
      </c>
      <c r="F5" s="96" t="s">
        <v>14</v>
      </c>
      <c r="G5" s="96" t="s">
        <v>15</v>
      </c>
      <c r="H5" s="96" t="s">
        <v>16</v>
      </c>
      <c r="I5" s="103">
        <v>10</v>
      </c>
      <c r="J5" s="103"/>
      <c r="K5" s="106" t="s">
        <v>36</v>
      </c>
    </row>
    <row r="6" spans="1:11" ht="15.6">
      <c r="A6" s="95">
        <v>8</v>
      </c>
      <c r="B6" s="100">
        <v>46283.856770833336</v>
      </c>
      <c r="C6" s="96" t="s">
        <v>37</v>
      </c>
      <c r="D6" s="96" t="s">
        <v>30</v>
      </c>
      <c r="E6" s="96" t="s">
        <v>31</v>
      </c>
      <c r="F6" s="96" t="s">
        <v>14</v>
      </c>
      <c r="G6" s="96" t="s">
        <v>15</v>
      </c>
      <c r="H6" s="96" t="s">
        <v>16</v>
      </c>
      <c r="I6" s="103">
        <v>10</v>
      </c>
      <c r="J6" s="103"/>
      <c r="K6" s="106" t="s">
        <v>38</v>
      </c>
    </row>
    <row r="7" spans="1:11" ht="15.6">
      <c r="A7" s="95">
        <v>9</v>
      </c>
      <c r="B7" s="100">
        <v>46283.857071759259</v>
      </c>
      <c r="C7" s="96" t="s">
        <v>39</v>
      </c>
      <c r="D7" s="96" t="s">
        <v>40</v>
      </c>
      <c r="E7" s="96" t="s">
        <v>41</v>
      </c>
      <c r="F7" s="96" t="s">
        <v>14</v>
      </c>
      <c r="G7" s="96" t="s">
        <v>15</v>
      </c>
      <c r="H7" s="96" t="s">
        <v>16</v>
      </c>
      <c r="I7" s="103">
        <v>100</v>
      </c>
      <c r="J7" s="103"/>
      <c r="K7" s="106" t="s">
        <v>42</v>
      </c>
    </row>
    <row r="8" spans="1:11" ht="15.6">
      <c r="A8" s="95">
        <v>12</v>
      </c>
      <c r="B8" s="100">
        <v>46283.858958333331</v>
      </c>
      <c r="C8" s="96" t="s">
        <v>47</v>
      </c>
      <c r="D8" s="96" t="s">
        <v>48</v>
      </c>
      <c r="E8" s="96" t="s">
        <v>49</v>
      </c>
      <c r="F8" s="96" t="s">
        <v>14</v>
      </c>
      <c r="G8" s="96" t="s">
        <v>15</v>
      </c>
      <c r="H8" s="96" t="s">
        <v>16</v>
      </c>
      <c r="I8" s="103">
        <v>10</v>
      </c>
      <c r="J8" s="103"/>
      <c r="K8" s="106" t="s">
        <v>50</v>
      </c>
    </row>
    <row r="9" spans="1:11" ht="15.6">
      <c r="A9" s="95">
        <v>14</v>
      </c>
      <c r="B9" s="100">
        <v>46283.8590625</v>
      </c>
      <c r="C9" s="96" t="s">
        <v>55</v>
      </c>
      <c r="D9" s="96" t="s">
        <v>48</v>
      </c>
      <c r="E9" s="96" t="s">
        <v>49</v>
      </c>
      <c r="F9" s="96" t="s">
        <v>14</v>
      </c>
      <c r="G9" s="96" t="s">
        <v>15</v>
      </c>
      <c r="H9" s="96" t="s">
        <v>16</v>
      </c>
      <c r="I9" s="103">
        <v>10</v>
      </c>
      <c r="J9" s="103"/>
      <c r="K9" s="106" t="s">
        <v>56</v>
      </c>
    </row>
    <row r="10" spans="1:11" ht="15.6">
      <c r="A10" s="95">
        <v>17</v>
      </c>
      <c r="B10" s="100">
        <v>46283.860659722224</v>
      </c>
      <c r="C10" s="96" t="s">
        <v>61</v>
      </c>
      <c r="D10" s="96" t="s">
        <v>48</v>
      </c>
      <c r="E10" s="96" t="s">
        <v>49</v>
      </c>
      <c r="F10" s="96" t="s">
        <v>14</v>
      </c>
      <c r="G10" s="96" t="s">
        <v>15</v>
      </c>
      <c r="H10" s="96" t="s">
        <v>16</v>
      </c>
      <c r="I10" s="103">
        <v>10</v>
      </c>
      <c r="J10" s="103"/>
      <c r="K10" s="106" t="s">
        <v>62</v>
      </c>
    </row>
    <row r="11" spans="1:11" ht="15.6">
      <c r="A11" s="95">
        <v>19</v>
      </c>
      <c r="B11" s="100">
        <v>46283.860868055555</v>
      </c>
      <c r="C11" s="96" t="s">
        <v>65</v>
      </c>
      <c r="D11" s="96" t="s">
        <v>34</v>
      </c>
      <c r="E11" s="96" t="s">
        <v>35</v>
      </c>
      <c r="F11" s="96" t="s">
        <v>14</v>
      </c>
      <c r="G11" s="96" t="s">
        <v>15</v>
      </c>
      <c r="H11" s="96" t="s">
        <v>16</v>
      </c>
      <c r="I11" s="103">
        <v>10</v>
      </c>
      <c r="J11" s="103"/>
      <c r="K11" s="106" t="s">
        <v>66</v>
      </c>
    </row>
    <row r="12" spans="1:11" ht="15.6">
      <c r="A12" s="95">
        <v>20</v>
      </c>
      <c r="B12" s="100">
        <v>46283.861689814818</v>
      </c>
      <c r="C12" s="96" t="s">
        <v>67</v>
      </c>
      <c r="D12" s="96" t="s">
        <v>48</v>
      </c>
      <c r="E12" s="96" t="s">
        <v>49</v>
      </c>
      <c r="F12" s="96" t="s">
        <v>14</v>
      </c>
      <c r="G12" s="96" t="s">
        <v>15</v>
      </c>
      <c r="H12" s="96" t="s">
        <v>16</v>
      </c>
      <c r="I12" s="103">
        <v>10</v>
      </c>
      <c r="J12" s="103"/>
      <c r="K12" s="106" t="s">
        <v>68</v>
      </c>
    </row>
    <row r="13" spans="1:11" ht="15.6">
      <c r="A13" s="95">
        <v>25</v>
      </c>
      <c r="B13" s="100">
        <v>46283.864930555559</v>
      </c>
      <c r="C13" s="96" t="s">
        <v>79</v>
      </c>
      <c r="D13" s="96" t="s">
        <v>48</v>
      </c>
      <c r="E13" s="96" t="s">
        <v>49</v>
      </c>
      <c r="F13" s="96" t="s">
        <v>14</v>
      </c>
      <c r="G13" s="96" t="s">
        <v>15</v>
      </c>
      <c r="H13" s="96" t="s">
        <v>16</v>
      </c>
      <c r="I13" s="103">
        <v>10</v>
      </c>
      <c r="J13" s="103"/>
      <c r="K13" s="106" t="s">
        <v>80</v>
      </c>
    </row>
    <row r="14" spans="1:11" ht="15.6">
      <c r="A14" s="95">
        <v>26</v>
      </c>
      <c r="B14" s="100">
        <v>46283.865046296298</v>
      </c>
      <c r="C14" s="96" t="s">
        <v>81</v>
      </c>
      <c r="D14" s="96" t="s">
        <v>48</v>
      </c>
      <c r="E14" s="96" t="s">
        <v>49</v>
      </c>
      <c r="F14" s="96" t="s">
        <v>14</v>
      </c>
      <c r="G14" s="96" t="s">
        <v>15</v>
      </c>
      <c r="H14" s="96" t="s">
        <v>16</v>
      </c>
      <c r="I14" s="103">
        <v>10</v>
      </c>
      <c r="J14" s="103"/>
      <c r="K14" s="106" t="s">
        <v>82</v>
      </c>
    </row>
    <row r="15" spans="1:11" ht="15.6">
      <c r="A15" s="95">
        <v>27</v>
      </c>
      <c r="B15" s="100">
        <v>46283.86515046296</v>
      </c>
      <c r="C15" s="96" t="s">
        <v>83</v>
      </c>
      <c r="D15" s="96" t="s">
        <v>48</v>
      </c>
      <c r="E15" s="96" t="s">
        <v>49</v>
      </c>
      <c r="F15" s="96" t="s">
        <v>14</v>
      </c>
      <c r="G15" s="96" t="s">
        <v>15</v>
      </c>
      <c r="H15" s="96" t="s">
        <v>16</v>
      </c>
      <c r="I15" s="103">
        <v>10</v>
      </c>
      <c r="J15" s="103"/>
      <c r="K15" s="106" t="s">
        <v>84</v>
      </c>
    </row>
    <row r="16" spans="1:11" ht="15.6">
      <c r="A16" s="95">
        <v>106</v>
      </c>
      <c r="B16" s="100">
        <v>46283.984131944446</v>
      </c>
      <c r="C16" s="96" t="s">
        <v>234</v>
      </c>
      <c r="D16" s="96" t="s">
        <v>48</v>
      </c>
      <c r="E16" s="96" t="s">
        <v>49</v>
      </c>
      <c r="F16" s="96" t="s">
        <v>14</v>
      </c>
      <c r="G16" s="96" t="s">
        <v>15</v>
      </c>
      <c r="H16" s="96" t="s">
        <v>16</v>
      </c>
      <c r="I16" s="103">
        <v>10</v>
      </c>
      <c r="J16" s="103"/>
      <c r="K16" s="106" t="s">
        <v>235</v>
      </c>
    </row>
    <row r="17" spans="1:11" ht="15.6">
      <c r="A17" s="95">
        <v>111</v>
      </c>
      <c r="B17" s="100">
        <v>46283.987858796296</v>
      </c>
      <c r="C17" s="96" t="s">
        <v>241</v>
      </c>
      <c r="D17" s="96" t="s">
        <v>48</v>
      </c>
      <c r="E17" s="96" t="s">
        <v>49</v>
      </c>
      <c r="F17" s="96" t="s">
        <v>14</v>
      </c>
      <c r="G17" s="96" t="s">
        <v>15</v>
      </c>
      <c r="H17" s="96" t="s">
        <v>16</v>
      </c>
      <c r="I17" s="103">
        <v>10</v>
      </c>
      <c r="J17" s="103"/>
      <c r="K17" s="106" t="s">
        <v>242</v>
      </c>
    </row>
    <row r="18" spans="1:11" ht="15.6">
      <c r="A18" s="95">
        <v>113</v>
      </c>
      <c r="B18" s="100">
        <v>46283.988182870373</v>
      </c>
      <c r="C18" s="96" t="s">
        <v>245</v>
      </c>
      <c r="D18" s="96" t="s">
        <v>48</v>
      </c>
      <c r="E18" s="96" t="s">
        <v>49</v>
      </c>
      <c r="F18" s="96" t="s">
        <v>14</v>
      </c>
      <c r="G18" s="96" t="s">
        <v>15</v>
      </c>
      <c r="H18" s="96" t="s">
        <v>16</v>
      </c>
      <c r="I18" s="103">
        <v>10</v>
      </c>
      <c r="J18" s="103"/>
      <c r="K18" s="106" t="s">
        <v>246</v>
      </c>
    </row>
    <row r="19" spans="1:11" ht="15.6">
      <c r="A19" s="95">
        <v>119</v>
      </c>
      <c r="B19" s="100">
        <v>46283.992569444446</v>
      </c>
      <c r="C19" s="96" t="s">
        <v>255</v>
      </c>
      <c r="D19" s="96" t="s">
        <v>48</v>
      </c>
      <c r="E19" s="96" t="s">
        <v>49</v>
      </c>
      <c r="F19" s="96" t="s">
        <v>14</v>
      </c>
      <c r="G19" s="96" t="s">
        <v>15</v>
      </c>
      <c r="H19" s="96" t="s">
        <v>16</v>
      </c>
      <c r="I19" s="103">
        <v>10</v>
      </c>
      <c r="J19" s="103"/>
      <c r="K19" s="106" t="s">
        <v>256</v>
      </c>
    </row>
    <row r="20" spans="1:11" ht="15.6">
      <c r="A20" s="95">
        <v>120</v>
      </c>
      <c r="B20" s="100">
        <v>46283.992696759262</v>
      </c>
      <c r="C20" s="96" t="s">
        <v>257</v>
      </c>
      <c r="D20" s="96" t="s">
        <v>48</v>
      </c>
      <c r="E20" s="96" t="s">
        <v>49</v>
      </c>
      <c r="F20" s="96" t="s">
        <v>14</v>
      </c>
      <c r="G20" s="96" t="s">
        <v>15</v>
      </c>
      <c r="H20" s="96" t="s">
        <v>16</v>
      </c>
      <c r="I20" s="103">
        <v>10</v>
      </c>
      <c r="J20" s="103"/>
      <c r="K20" s="106" t="s">
        <v>258</v>
      </c>
    </row>
    <row r="21" spans="1:11" ht="15.6">
      <c r="A21" s="95">
        <v>121</v>
      </c>
      <c r="B21" s="100">
        <v>46283.993298611109</v>
      </c>
      <c r="C21" s="96" t="s">
        <v>259</v>
      </c>
      <c r="D21" s="96" t="s">
        <v>48</v>
      </c>
      <c r="E21" s="96" t="s">
        <v>49</v>
      </c>
      <c r="F21" s="96" t="s">
        <v>14</v>
      </c>
      <c r="G21" s="96" t="s">
        <v>15</v>
      </c>
      <c r="H21" s="96" t="s">
        <v>16</v>
      </c>
      <c r="I21" s="103">
        <v>10</v>
      </c>
      <c r="J21" s="103"/>
      <c r="K21" s="106" t="s">
        <v>260</v>
      </c>
    </row>
    <row r="22" spans="1:11" ht="15.6">
      <c r="A22" s="95">
        <v>122</v>
      </c>
      <c r="B22" s="100">
        <v>46283.993437500001</v>
      </c>
      <c r="C22" s="96" t="s">
        <v>261</v>
      </c>
      <c r="D22" s="96" t="s">
        <v>48</v>
      </c>
      <c r="E22" s="96" t="s">
        <v>49</v>
      </c>
      <c r="F22" s="96" t="s">
        <v>14</v>
      </c>
      <c r="G22" s="96" t="s">
        <v>15</v>
      </c>
      <c r="H22" s="96" t="s">
        <v>16</v>
      </c>
      <c r="I22" s="103">
        <v>10</v>
      </c>
      <c r="J22" s="103"/>
      <c r="K22" s="106" t="s">
        <v>262</v>
      </c>
    </row>
    <row r="23" spans="1:11" ht="15.6">
      <c r="A23" s="95">
        <v>123</v>
      </c>
      <c r="B23" s="100">
        <v>46283.993923611109</v>
      </c>
      <c r="C23" s="96" t="s">
        <v>263</v>
      </c>
      <c r="D23" s="96" t="s">
        <v>48</v>
      </c>
      <c r="E23" s="96" t="s">
        <v>49</v>
      </c>
      <c r="F23" s="96" t="s">
        <v>14</v>
      </c>
      <c r="G23" s="96" t="s">
        <v>15</v>
      </c>
      <c r="H23" s="96" t="s">
        <v>16</v>
      </c>
      <c r="I23" s="103">
        <v>30</v>
      </c>
      <c r="J23" s="103"/>
      <c r="K23" s="106" t="s">
        <v>264</v>
      </c>
    </row>
    <row r="24" spans="1:11" ht="15.6">
      <c r="A24" s="95">
        <v>124</v>
      </c>
      <c r="B24" s="100">
        <v>46283.993935185186</v>
      </c>
      <c r="C24" s="96" t="s">
        <v>265</v>
      </c>
      <c r="D24" s="96" t="s">
        <v>198</v>
      </c>
      <c r="E24" s="96" t="s">
        <v>199</v>
      </c>
      <c r="F24" s="96" t="s">
        <v>14</v>
      </c>
      <c r="G24" s="96" t="s">
        <v>15</v>
      </c>
      <c r="H24" s="96" t="s">
        <v>16</v>
      </c>
      <c r="I24" s="103">
        <v>10</v>
      </c>
      <c r="J24" s="103"/>
      <c r="K24" s="106" t="s">
        <v>266</v>
      </c>
    </row>
    <row r="25" spans="1:11" ht="15.6">
      <c r="A25" s="95">
        <v>125</v>
      </c>
      <c r="B25" s="100">
        <v>46283.994062500002</v>
      </c>
      <c r="C25" s="96" t="s">
        <v>267</v>
      </c>
      <c r="D25" s="96" t="s">
        <v>198</v>
      </c>
      <c r="E25" s="96" t="s">
        <v>199</v>
      </c>
      <c r="F25" s="96" t="s">
        <v>14</v>
      </c>
      <c r="G25" s="96" t="s">
        <v>15</v>
      </c>
      <c r="H25" s="96" t="s">
        <v>16</v>
      </c>
      <c r="I25" s="103">
        <v>10</v>
      </c>
      <c r="J25" s="103"/>
      <c r="K25" s="106" t="s">
        <v>27</v>
      </c>
    </row>
    <row r="26" spans="1:11" ht="15.6">
      <c r="A26" s="95">
        <v>126</v>
      </c>
      <c r="B26" s="100">
        <v>46283.994108796294</v>
      </c>
      <c r="C26" s="96" t="s">
        <v>268</v>
      </c>
      <c r="D26" s="96" t="s">
        <v>30</v>
      </c>
      <c r="E26" s="96" t="s">
        <v>31</v>
      </c>
      <c r="F26" s="96" t="s">
        <v>14</v>
      </c>
      <c r="G26" s="96" t="s">
        <v>15</v>
      </c>
      <c r="H26" s="96" t="s">
        <v>16</v>
      </c>
      <c r="I26" s="103">
        <v>10</v>
      </c>
      <c r="J26" s="103"/>
      <c r="K26" s="106" t="s">
        <v>269</v>
      </c>
    </row>
    <row r="27" spans="1:11" ht="15.6">
      <c r="A27" s="95">
        <v>127</v>
      </c>
      <c r="B27" s="100">
        <v>46283.994155092594</v>
      </c>
      <c r="C27" s="96" t="s">
        <v>270</v>
      </c>
      <c r="D27" s="96" t="s">
        <v>198</v>
      </c>
      <c r="E27" s="96" t="s">
        <v>199</v>
      </c>
      <c r="F27" s="96" t="s">
        <v>14</v>
      </c>
      <c r="G27" s="96" t="s">
        <v>15</v>
      </c>
      <c r="H27" s="96" t="s">
        <v>16</v>
      </c>
      <c r="I27" s="103">
        <v>10</v>
      </c>
      <c r="J27" s="103"/>
      <c r="K27" s="106" t="s">
        <v>27</v>
      </c>
    </row>
    <row r="28" spans="1:11" ht="15.6">
      <c r="A28" s="95">
        <v>128</v>
      </c>
      <c r="B28" s="100">
        <v>46283.99417824074</v>
      </c>
      <c r="C28" s="96" t="s">
        <v>271</v>
      </c>
      <c r="D28" s="96" t="s">
        <v>48</v>
      </c>
      <c r="E28" s="96" t="s">
        <v>49</v>
      </c>
      <c r="F28" s="96" t="s">
        <v>14</v>
      </c>
      <c r="G28" s="96" t="s">
        <v>15</v>
      </c>
      <c r="H28" s="96" t="s">
        <v>16</v>
      </c>
      <c r="I28" s="103">
        <v>10</v>
      </c>
      <c r="J28" s="103"/>
      <c r="K28" s="106" t="s">
        <v>98</v>
      </c>
    </row>
    <row r="29" spans="1:11" ht="15.6">
      <c r="A29" s="95">
        <v>129</v>
      </c>
      <c r="B29" s="100">
        <v>46283.994259259256</v>
      </c>
      <c r="C29" s="96" t="s">
        <v>272</v>
      </c>
      <c r="D29" s="96" t="s">
        <v>198</v>
      </c>
      <c r="E29" s="96" t="s">
        <v>199</v>
      </c>
      <c r="F29" s="96" t="s">
        <v>14</v>
      </c>
      <c r="G29" s="96" t="s">
        <v>15</v>
      </c>
      <c r="H29" s="96" t="s">
        <v>16</v>
      </c>
      <c r="I29" s="103">
        <v>10</v>
      </c>
      <c r="J29" s="103"/>
      <c r="K29" s="106" t="s">
        <v>27</v>
      </c>
    </row>
    <row r="30" spans="1:11" ht="15.6">
      <c r="A30" s="95">
        <v>132</v>
      </c>
      <c r="B30" s="100">
        <v>46283.996782407405</v>
      </c>
      <c r="C30" s="96" t="s">
        <v>277</v>
      </c>
      <c r="D30" s="96" t="s">
        <v>48</v>
      </c>
      <c r="E30" s="96" t="s">
        <v>49</v>
      </c>
      <c r="F30" s="96" t="s">
        <v>14</v>
      </c>
      <c r="G30" s="96" t="s">
        <v>15</v>
      </c>
      <c r="H30" s="96" t="s">
        <v>16</v>
      </c>
      <c r="I30" s="103">
        <v>248</v>
      </c>
      <c r="J30" s="103"/>
      <c r="K30" s="106" t="s">
        <v>278</v>
      </c>
    </row>
    <row r="31" spans="1:11" ht="15.6">
      <c r="A31" s="97">
        <v>169</v>
      </c>
      <c r="B31" s="101">
        <v>46284.05877314815</v>
      </c>
      <c r="C31" s="98" t="s">
        <v>343</v>
      </c>
      <c r="D31" s="98" t="s">
        <v>324</v>
      </c>
      <c r="E31" s="98" t="s">
        <v>325</v>
      </c>
      <c r="F31" s="98" t="s">
        <v>14</v>
      </c>
      <c r="G31" s="98" t="s">
        <v>15</v>
      </c>
      <c r="H31" s="98" t="s">
        <v>16</v>
      </c>
      <c r="I31" s="104">
        <v>500</v>
      </c>
      <c r="J31" s="104"/>
      <c r="K31" s="107" t="s">
        <v>27</v>
      </c>
    </row>
    <row r="32" spans="1:11" ht="15.6">
      <c r="A32" s="59" t="s">
        <v>350</v>
      </c>
      <c r="B32" s="60"/>
      <c r="C32" s="60"/>
      <c r="D32" s="60"/>
      <c r="E32" s="60"/>
      <c r="F32" s="60"/>
      <c r="G32" s="60"/>
      <c r="H32" s="60"/>
      <c r="I32" s="61">
        <f>SUM(I2:I31)</f>
        <v>1228</v>
      </c>
      <c r="J32" s="61">
        <f>SUM(J2:J31)</f>
        <v>0</v>
      </c>
      <c r="K32" s="6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3.8"/>
  <cols>
    <col min="1" max="1" width="8" customWidth="1"/>
    <col min="2" max="2" width="21" customWidth="1"/>
    <col min="3" max="3" width="13" customWidth="1"/>
    <col min="4" max="4" width="21" customWidth="1"/>
    <col min="5" max="5" width="19" customWidth="1"/>
    <col min="6" max="6" width="12" customWidth="1"/>
    <col min="7" max="7" width="19" customWidth="1"/>
    <col min="8" max="8" width="13" customWidth="1"/>
    <col min="9" max="10" width="12" customWidth="1"/>
    <col min="11" max="11" width="48" customWidth="1"/>
  </cols>
  <sheetData>
    <row r="1" spans="1:11" ht="17.850000000000001" customHeight="1">
      <c r="A1" s="41" t="s">
        <v>351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</row>
    <row r="2" spans="1:11" ht="15.6">
      <c r="A2" s="78">
        <v>15</v>
      </c>
      <c r="B2" s="84">
        <v>46283.860277777778</v>
      </c>
      <c r="C2" s="79" t="s">
        <v>57</v>
      </c>
      <c r="D2" s="79" t="s">
        <v>48</v>
      </c>
      <c r="E2" s="79" t="s">
        <v>49</v>
      </c>
      <c r="F2" s="79" t="s">
        <v>14</v>
      </c>
      <c r="G2" s="79" t="s">
        <v>15</v>
      </c>
      <c r="H2" s="79" t="s">
        <v>16</v>
      </c>
      <c r="I2" s="87">
        <v>10</v>
      </c>
      <c r="J2" s="87"/>
      <c r="K2" s="90" t="s">
        <v>58</v>
      </c>
    </row>
    <row r="3" spans="1:11" ht="15.6">
      <c r="A3" s="80">
        <v>16</v>
      </c>
      <c r="B3" s="85">
        <v>46283.86041666667</v>
      </c>
      <c r="C3" s="81" t="s">
        <v>59</v>
      </c>
      <c r="D3" s="81" t="s">
        <v>40</v>
      </c>
      <c r="E3" s="81" t="s">
        <v>41</v>
      </c>
      <c r="F3" s="81" t="s">
        <v>14</v>
      </c>
      <c r="G3" s="81" t="s">
        <v>15</v>
      </c>
      <c r="H3" s="81" t="s">
        <v>16</v>
      </c>
      <c r="I3" s="88">
        <v>10</v>
      </c>
      <c r="J3" s="88"/>
      <c r="K3" s="91" t="s">
        <v>60</v>
      </c>
    </row>
    <row r="4" spans="1:11" ht="15.6">
      <c r="A4" s="82">
        <v>53</v>
      </c>
      <c r="B4" s="86">
        <v>46283.91269675926</v>
      </c>
      <c r="C4" s="83" t="s">
        <v>140</v>
      </c>
      <c r="D4" s="83" t="s">
        <v>30</v>
      </c>
      <c r="E4" s="83" t="s">
        <v>31</v>
      </c>
      <c r="F4" s="83" t="s">
        <v>14</v>
      </c>
      <c r="G4" s="83" t="s">
        <v>15</v>
      </c>
      <c r="H4" s="83" t="s">
        <v>16</v>
      </c>
      <c r="I4" s="89">
        <v>18</v>
      </c>
      <c r="J4" s="89"/>
      <c r="K4" s="92" t="s">
        <v>141</v>
      </c>
    </row>
    <row r="5" spans="1:11" ht="15.6">
      <c r="A5" s="59" t="s">
        <v>350</v>
      </c>
      <c r="B5" s="60"/>
      <c r="C5" s="60"/>
      <c r="D5" s="60"/>
      <c r="E5" s="60"/>
      <c r="F5" s="60"/>
      <c r="G5" s="60"/>
      <c r="H5" s="60"/>
      <c r="I5" s="61">
        <f>SUM(I2:I4)</f>
        <v>38</v>
      </c>
      <c r="J5" s="61">
        <f>SUM(J2:J4)</f>
        <v>0</v>
      </c>
      <c r="K5" s="6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selection sqref="A1:F31"/>
    </sheetView>
  </sheetViews>
  <sheetFormatPr defaultRowHeight="18.600000000000001"/>
  <cols>
    <col min="1" max="1" width="9" customWidth="1"/>
    <col min="2" max="2" width="24" customWidth="1"/>
    <col min="3" max="3" width="22" customWidth="1"/>
    <col min="4" max="4" width="18" customWidth="1"/>
    <col min="5" max="5" width="15" customWidth="1"/>
    <col min="6" max="6" width="63.09765625" style="129" customWidth="1"/>
  </cols>
  <sheetData>
    <row r="1" spans="1:6" ht="27.15" customHeight="1">
      <c r="A1" s="108" t="s">
        <v>352</v>
      </c>
      <c r="B1" s="108"/>
      <c r="C1" s="108"/>
      <c r="D1" s="108"/>
      <c r="E1" s="108"/>
      <c r="F1" s="108"/>
    </row>
    <row r="2" spans="1:6" ht="21.6" customHeight="1">
      <c r="A2" s="109" t="s">
        <v>353</v>
      </c>
      <c r="B2" s="109" t="s">
        <v>3</v>
      </c>
      <c r="C2" s="109" t="s">
        <v>4</v>
      </c>
      <c r="D2" s="109" t="s">
        <v>354</v>
      </c>
      <c r="E2" s="109" t="s">
        <v>355</v>
      </c>
      <c r="F2" s="109" t="s">
        <v>366</v>
      </c>
    </row>
    <row r="3" spans="1:6" ht="17.55" customHeight="1">
      <c r="A3" s="110">
        <v>1</v>
      </c>
      <c r="B3" s="110" t="s">
        <v>40</v>
      </c>
      <c r="C3" s="110" t="s">
        <v>41</v>
      </c>
      <c r="D3" s="111">
        <f>SUMIF(후원목록!$E$2:$E$174,C3,후원목록!$I$2:$I$174)</f>
        <v>59407</v>
      </c>
      <c r="E3" s="111">
        <f>COUNTIF(후원목록!$E$2:$E$174,C3)</f>
        <v>36</v>
      </c>
      <c r="F3" s="129" t="s">
        <v>380</v>
      </c>
    </row>
    <row r="4" spans="1:6" ht="17.55" customHeight="1">
      <c r="A4" s="112">
        <v>2</v>
      </c>
      <c r="B4" s="112" t="s">
        <v>222</v>
      </c>
      <c r="C4" s="112" t="s">
        <v>223</v>
      </c>
      <c r="D4" s="113">
        <f>SUMIF(후원목록!$E$2:$E$174,C4,후원목록!$I$2:$I$174)</f>
        <v>18591</v>
      </c>
      <c r="E4" s="113">
        <f>COUNTIF(후원목록!$E$2:$E$174,C4)</f>
        <v>17</v>
      </c>
      <c r="F4" s="129" t="s">
        <v>380</v>
      </c>
    </row>
    <row r="5" spans="1:6" ht="17.55" customHeight="1">
      <c r="A5" s="110">
        <v>3</v>
      </c>
      <c r="B5" s="110" t="s">
        <v>313</v>
      </c>
      <c r="C5" s="110" t="s">
        <v>314</v>
      </c>
      <c r="D5" s="111">
        <f>SUMIF(후원목록!$E$2:$E$174,C5,후원목록!$I$2:$I$174)</f>
        <v>15569</v>
      </c>
      <c r="E5" s="111">
        <f>COUNTIF(후원목록!$E$2:$E$174,C5)</f>
        <v>11</v>
      </c>
      <c r="F5" s="129" t="s">
        <v>380</v>
      </c>
    </row>
    <row r="6" spans="1:6" ht="17.55" customHeight="1">
      <c r="A6" s="112">
        <v>4</v>
      </c>
      <c r="B6" s="112" t="s">
        <v>94</v>
      </c>
      <c r="C6" s="112" t="s">
        <v>95</v>
      </c>
      <c r="D6" s="113">
        <f>SUMIF(후원목록!$E$2:$E$174,C6,후원목록!$I$2:$I$174)</f>
        <v>7273</v>
      </c>
      <c r="E6" s="113">
        <f>COUNTIF(후원목록!$E$2:$E$174,C6)</f>
        <v>9</v>
      </c>
      <c r="F6" s="129" t="s">
        <v>367</v>
      </c>
    </row>
    <row r="7" spans="1:6" ht="17.55" customHeight="1">
      <c r="A7" s="110">
        <v>5</v>
      </c>
      <c r="B7" s="110" t="s">
        <v>198</v>
      </c>
      <c r="C7" s="110" t="s">
        <v>199</v>
      </c>
      <c r="D7" s="111">
        <f>SUMIF(후원목록!$E$2:$E$174,C7,후원목록!$I$2:$I$174)</f>
        <v>7051</v>
      </c>
      <c r="E7" s="111">
        <f>COUNTIF(후원목록!$E$2:$E$174,C7)</f>
        <v>14</v>
      </c>
      <c r="F7" s="129" t="s">
        <v>367</v>
      </c>
    </row>
    <row r="8" spans="1:6" ht="17.55" customHeight="1">
      <c r="A8" s="112">
        <v>6</v>
      </c>
      <c r="B8" s="112" t="s">
        <v>170</v>
      </c>
      <c r="C8" s="112" t="s">
        <v>171</v>
      </c>
      <c r="D8" s="113">
        <f>SUMIF(후원목록!$E$2:$E$174,C8,후원목록!$I$2:$I$174)</f>
        <v>5460</v>
      </c>
      <c r="E8" s="113">
        <f>COUNTIF(후원목록!$E$2:$E$174,C8)</f>
        <v>8</v>
      </c>
      <c r="F8" s="129" t="s">
        <v>367</v>
      </c>
    </row>
    <row r="9" spans="1:6" ht="17.55" customHeight="1">
      <c r="A9" s="110">
        <v>7</v>
      </c>
      <c r="B9" s="110" t="s">
        <v>295</v>
      </c>
      <c r="C9" s="110" t="s">
        <v>296</v>
      </c>
      <c r="D9" s="111">
        <f>SUMIF(후원목록!$E$2:$E$174,C9,후원목록!$I$2:$I$174)</f>
        <v>2996</v>
      </c>
      <c r="E9" s="111">
        <f>COUNTIF(후원목록!$E$2:$E$174,C9)</f>
        <v>2</v>
      </c>
      <c r="F9" s="129" t="s">
        <v>367</v>
      </c>
    </row>
    <row r="10" spans="1:6" ht="17.55" customHeight="1">
      <c r="A10" s="112">
        <v>8</v>
      </c>
      <c r="B10" s="112" t="s">
        <v>324</v>
      </c>
      <c r="C10" s="112" t="s">
        <v>325</v>
      </c>
      <c r="D10" s="113">
        <f>SUMIF(후원목록!$E$2:$E$174,C10,후원목록!$I$2:$I$174)</f>
        <v>2963</v>
      </c>
      <c r="E10" s="113">
        <f>COUNTIF(후원목록!$E$2:$E$174,C10)</f>
        <v>7</v>
      </c>
      <c r="F10" s="129" t="s">
        <v>367</v>
      </c>
    </row>
    <row r="11" spans="1:6" ht="17.55" customHeight="1">
      <c r="A11" s="110">
        <v>9</v>
      </c>
      <c r="B11" s="110" t="s">
        <v>304</v>
      </c>
      <c r="C11" s="110" t="s">
        <v>305</v>
      </c>
      <c r="D11" s="111">
        <f>SUMIF(후원목록!$E$2:$E$174,C11,후원목록!$I$2:$I$174)</f>
        <v>2277</v>
      </c>
      <c r="E11" s="111">
        <f>COUNTIF(후원목록!$E$2:$E$174,C11)</f>
        <v>2</v>
      </c>
      <c r="F11" s="129" t="s">
        <v>367</v>
      </c>
    </row>
    <row r="12" spans="1:6" ht="17.55" customHeight="1">
      <c r="A12" s="112">
        <v>10</v>
      </c>
      <c r="B12" s="112" t="s">
        <v>124</v>
      </c>
      <c r="C12" s="112" t="s">
        <v>125</v>
      </c>
      <c r="D12" s="113">
        <f>SUMIF(후원목록!$E$2:$E$174,C12,후원목록!$I$2:$I$174)</f>
        <v>1544</v>
      </c>
      <c r="E12" s="113">
        <f>COUNTIF(후원목록!$E$2:$E$174,C12)</f>
        <v>2</v>
      </c>
      <c r="F12" s="129" t="s">
        <v>367</v>
      </c>
    </row>
    <row r="13" spans="1:6" ht="17.55" customHeight="1">
      <c r="A13" s="110">
        <v>11</v>
      </c>
      <c r="B13" s="110" t="s">
        <v>86</v>
      </c>
      <c r="C13" s="110" t="s">
        <v>87</v>
      </c>
      <c r="D13" s="111">
        <f>SUMIF(후원목록!$E$2:$E$174,C13,후원목록!$I$2:$I$174)</f>
        <v>1500</v>
      </c>
      <c r="E13" s="111">
        <f>COUNTIF(후원목록!$E$2:$E$174,C13)</f>
        <v>2</v>
      </c>
      <c r="F13" s="129" t="s">
        <v>367</v>
      </c>
    </row>
    <row r="14" spans="1:6" ht="17.55" customHeight="1">
      <c r="A14" s="112">
        <v>12</v>
      </c>
      <c r="B14" s="112" t="s">
        <v>332</v>
      </c>
      <c r="C14" s="112" t="s">
        <v>333</v>
      </c>
      <c r="D14" s="113">
        <f>SUMIF(후원목록!$E$2:$E$174,C14,후원목록!$I$2:$I$174)</f>
        <v>1136</v>
      </c>
      <c r="E14" s="113">
        <f>COUNTIF(후원목록!$E$2:$E$174,C14)</f>
        <v>4</v>
      </c>
      <c r="F14" s="129" t="s">
        <v>367</v>
      </c>
    </row>
    <row r="15" spans="1:6" ht="17.55" customHeight="1">
      <c r="A15" s="110">
        <v>13</v>
      </c>
      <c r="B15" s="110" t="s">
        <v>176</v>
      </c>
      <c r="C15" s="110" t="s">
        <v>177</v>
      </c>
      <c r="D15" s="111">
        <f>SUMIF(후원목록!$E$2:$E$174,C15,후원목록!$I$2:$I$174)</f>
        <v>1014</v>
      </c>
      <c r="E15" s="111">
        <f>COUNTIF(후원목록!$E$2:$E$174,C15)</f>
        <v>1</v>
      </c>
      <c r="F15" s="129" t="s">
        <v>367</v>
      </c>
    </row>
    <row r="16" spans="1:6" ht="17.55" customHeight="1">
      <c r="A16" s="112">
        <v>14</v>
      </c>
      <c r="B16" s="112" t="s">
        <v>118</v>
      </c>
      <c r="C16" s="112" t="s">
        <v>119</v>
      </c>
      <c r="D16" s="113">
        <f>SUMIF(후원목록!$E$2:$E$174,C16,후원목록!$I$2:$I$174)</f>
        <v>1005</v>
      </c>
      <c r="E16" s="113">
        <f>COUNTIF(후원목록!$E$2:$E$174,C16)</f>
        <v>4</v>
      </c>
      <c r="F16" s="129" t="s">
        <v>367</v>
      </c>
    </row>
    <row r="17" spans="1:6" ht="17.55" customHeight="1">
      <c r="A17" s="110">
        <v>15</v>
      </c>
      <c r="B17" s="110" t="s">
        <v>48</v>
      </c>
      <c r="C17" s="110" t="s">
        <v>49</v>
      </c>
      <c r="D17" s="111">
        <f>SUMIF(후원목록!$E$2:$E$174,C17,후원목록!$I$2:$I$174)</f>
        <v>796</v>
      </c>
      <c r="E17" s="111">
        <f>COUNTIF(후원목록!$E$2:$E$174,C17)</f>
        <v>21</v>
      </c>
      <c r="F17" s="129" t="s">
        <v>367</v>
      </c>
    </row>
    <row r="18" spans="1:6" ht="17.55" customHeight="1">
      <c r="A18" s="112">
        <v>16</v>
      </c>
      <c r="B18" s="112" t="s">
        <v>138</v>
      </c>
      <c r="C18" s="112" t="s">
        <v>139</v>
      </c>
      <c r="D18" s="113">
        <f>SUMIF(후원목록!$E$2:$E$174,C18,후원목록!$I$2:$I$174)</f>
        <v>766</v>
      </c>
      <c r="E18" s="113">
        <f>COUNTIF(후원목록!$E$2:$E$174,C18)</f>
        <v>3</v>
      </c>
      <c r="F18" s="129" t="s">
        <v>367</v>
      </c>
    </row>
    <row r="19" spans="1:6" ht="17.55" customHeight="1">
      <c r="A19" s="110">
        <v>17</v>
      </c>
      <c r="B19" s="110" t="s">
        <v>30</v>
      </c>
      <c r="C19" s="110" t="s">
        <v>31</v>
      </c>
      <c r="D19" s="111">
        <f>SUMIF(후원목록!$E$2:$E$174,C19,후원목록!$I$2:$I$174)</f>
        <v>697</v>
      </c>
      <c r="E19" s="111">
        <f>COUNTIF(후원목록!$E$2:$E$174,C19)</f>
        <v>9</v>
      </c>
      <c r="F19" s="129" t="s">
        <v>367</v>
      </c>
    </row>
    <row r="20" spans="1:6" ht="17.55" customHeight="1">
      <c r="A20" s="112">
        <v>18</v>
      </c>
      <c r="B20" s="112" t="s">
        <v>70</v>
      </c>
      <c r="C20" s="112" t="s">
        <v>71</v>
      </c>
      <c r="D20" s="113">
        <f>SUMIF(후원목록!$E$2:$E$174,C20,후원목록!$I$2:$I$174)</f>
        <v>680</v>
      </c>
      <c r="E20" s="113">
        <f>COUNTIF(후원목록!$E$2:$E$174,C20)</f>
        <v>2</v>
      </c>
      <c r="F20" s="129" t="s">
        <v>367</v>
      </c>
    </row>
    <row r="21" spans="1:6" ht="17.55" customHeight="1">
      <c r="A21" s="110">
        <v>19</v>
      </c>
      <c r="B21" s="110" t="s">
        <v>112</v>
      </c>
      <c r="C21" s="110" t="s">
        <v>113</v>
      </c>
      <c r="D21" s="111">
        <f>SUMIF(후원목록!$E$2:$E$174,C21,후원목록!$I$2:$I$174)</f>
        <v>600</v>
      </c>
      <c r="E21" s="111">
        <f>COUNTIF(후원목록!$E$2:$E$174,C21)</f>
        <v>3</v>
      </c>
      <c r="F21" s="129" t="s">
        <v>367</v>
      </c>
    </row>
    <row r="22" spans="1:6" ht="17.55" customHeight="1">
      <c r="A22" s="112">
        <v>20</v>
      </c>
      <c r="B22" s="112" t="s">
        <v>202</v>
      </c>
      <c r="C22" s="112" t="s">
        <v>203</v>
      </c>
      <c r="D22" s="113">
        <f>SUMIF(후원목록!$E$2:$E$174,C22,후원목록!$I$2:$I$174)</f>
        <v>543</v>
      </c>
      <c r="E22" s="113">
        <f>COUNTIF(후원목록!$E$2:$E$174,C22)</f>
        <v>3</v>
      </c>
      <c r="F22" s="129" t="s">
        <v>367</v>
      </c>
    </row>
    <row r="23" spans="1:6" ht="17.55" customHeight="1">
      <c r="A23" s="110">
        <v>21</v>
      </c>
      <c r="B23" s="110" t="s">
        <v>162</v>
      </c>
      <c r="C23" s="110" t="s">
        <v>163</v>
      </c>
      <c r="D23" s="111">
        <f>SUMIF(후원목록!$E$2:$E$174,C23,후원목록!$I$2:$I$174)</f>
        <v>540</v>
      </c>
      <c r="E23" s="111">
        <f>COUNTIF(후원목록!$E$2:$E$174,C23)</f>
        <v>2</v>
      </c>
      <c r="F23" s="129" t="s">
        <v>367</v>
      </c>
    </row>
    <row r="24" spans="1:6" ht="17.55" customHeight="1">
      <c r="A24" s="112">
        <v>22</v>
      </c>
      <c r="B24" s="112" t="s">
        <v>147</v>
      </c>
      <c r="C24" s="112" t="s">
        <v>148</v>
      </c>
      <c r="D24" s="113">
        <f>SUMIF(후원목록!$E$2:$E$174,C24,후원목록!$I$2:$I$174)</f>
        <v>200</v>
      </c>
      <c r="E24" s="113">
        <f>COUNTIF(후원목록!$E$2:$E$174,C24)</f>
        <v>2</v>
      </c>
      <c r="F24" s="129" t="s">
        <v>367</v>
      </c>
    </row>
    <row r="25" spans="1:6" ht="17.55" customHeight="1">
      <c r="A25" s="110">
        <v>23</v>
      </c>
      <c r="B25" s="110" t="s">
        <v>52</v>
      </c>
      <c r="C25" s="110" t="s">
        <v>53</v>
      </c>
      <c r="D25" s="111">
        <f>SUMIF(후원목록!$E$2:$E$174,C25,후원목록!$I$2:$I$174)</f>
        <v>107</v>
      </c>
      <c r="E25" s="111">
        <f>COUNTIF(후원목록!$E$2:$E$174,C25)</f>
        <v>1</v>
      </c>
      <c r="F25" s="129" t="s">
        <v>367</v>
      </c>
    </row>
    <row r="26" spans="1:6" ht="17.55" customHeight="1">
      <c r="A26" s="112">
        <v>24</v>
      </c>
      <c r="B26" s="112" t="s">
        <v>25</v>
      </c>
      <c r="C26" s="112" t="s">
        <v>26</v>
      </c>
      <c r="D26" s="113">
        <f>SUMIF(후원목록!$E$2:$E$174,C26,후원목록!$I$2:$I$174)</f>
        <v>100</v>
      </c>
      <c r="E26" s="113">
        <f>COUNTIF(후원목록!$E$2:$E$174,C26)</f>
        <v>1</v>
      </c>
      <c r="F26" s="129" t="s">
        <v>367</v>
      </c>
    </row>
    <row r="27" spans="1:6" ht="17.55" customHeight="1">
      <c r="A27" s="110">
        <v>25</v>
      </c>
      <c r="B27" s="110" t="s">
        <v>19</v>
      </c>
      <c r="C27" s="110" t="s">
        <v>20</v>
      </c>
      <c r="D27" s="111">
        <f>SUMIF(후원목록!$E$2:$E$174,C27,후원목록!$I$2:$I$174)</f>
        <v>100</v>
      </c>
      <c r="E27" s="111">
        <f>COUNTIF(후원목록!$E$2:$E$174,C27)</f>
        <v>1</v>
      </c>
      <c r="F27" s="129" t="s">
        <v>367</v>
      </c>
    </row>
    <row r="28" spans="1:6" ht="17.55" customHeight="1">
      <c r="A28" s="112">
        <v>26</v>
      </c>
      <c r="B28" s="112" t="s">
        <v>12</v>
      </c>
      <c r="C28" s="112" t="s">
        <v>13</v>
      </c>
      <c r="D28" s="113">
        <f>SUMIF(후원목록!$E$2:$E$174,C28,후원목록!$I$2:$I$174)</f>
        <v>30</v>
      </c>
      <c r="E28" s="113">
        <f>COUNTIF(후원목록!$E$2:$E$174,C28)</f>
        <v>3</v>
      </c>
      <c r="F28" s="129" t="s">
        <v>367</v>
      </c>
    </row>
    <row r="29" spans="1:6" ht="17.55" customHeight="1">
      <c r="A29" s="110">
        <v>27</v>
      </c>
      <c r="B29" s="110" t="s">
        <v>34</v>
      </c>
      <c r="C29" s="110" t="s">
        <v>35</v>
      </c>
      <c r="D29" s="111">
        <f>SUMIF(후원목록!$E$2:$E$174,C29,후원목록!$I$2:$I$174)</f>
        <v>20</v>
      </c>
      <c r="E29" s="111">
        <f>COUNTIF(후원목록!$E$2:$E$174,C29)</f>
        <v>2</v>
      </c>
      <c r="F29" s="129" t="s">
        <v>367</v>
      </c>
    </row>
    <row r="30" spans="1:6" ht="17.55" customHeight="1">
      <c r="A30" s="112">
        <v>28</v>
      </c>
      <c r="B30" s="112" t="s">
        <v>75</v>
      </c>
      <c r="C30" s="112" t="s">
        <v>76</v>
      </c>
      <c r="D30" s="113">
        <f>SUMIF(후원목록!$E$2:$E$174,C30,후원목록!$I$2:$I$174)</f>
        <v>10</v>
      </c>
      <c r="E30" s="113">
        <f>COUNTIF(후원목록!$E$2:$E$174,C30)</f>
        <v>1</v>
      </c>
      <c r="F30" s="129" t="s">
        <v>367</v>
      </c>
    </row>
    <row r="31" spans="1:6" ht="21.6" customHeight="1">
      <c r="A31" s="114" t="s">
        <v>356</v>
      </c>
      <c r="B31" s="114" t="s">
        <v>357</v>
      </c>
      <c r="C31" s="114"/>
      <c r="D31" s="115">
        <f>SUM(D3:D30)</f>
        <v>132975</v>
      </c>
      <c r="E31" s="115">
        <f>SUM(E3:E30)</f>
        <v>173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F20"/>
    </sheetView>
  </sheetViews>
  <sheetFormatPr defaultRowHeight="16.2"/>
  <cols>
    <col min="1" max="1" width="9" style="120" customWidth="1"/>
    <col min="2" max="2" width="24" style="120" customWidth="1"/>
    <col min="3" max="3" width="22" style="120" customWidth="1"/>
    <col min="4" max="4" width="18" style="120" customWidth="1"/>
    <col min="5" max="5" width="15" style="120" customWidth="1"/>
    <col min="6" max="6" width="61.3984375" style="120" customWidth="1"/>
  </cols>
  <sheetData>
    <row r="1" spans="1:6" ht="27.15" customHeight="1">
      <c r="A1" s="142" t="s">
        <v>364</v>
      </c>
      <c r="B1" s="142"/>
      <c r="C1" s="142"/>
      <c r="D1" s="142"/>
      <c r="E1" s="142"/>
      <c r="F1" s="142"/>
    </row>
    <row r="2" spans="1:6" ht="21.6" customHeight="1">
      <c r="A2" s="143" t="s">
        <v>353</v>
      </c>
      <c r="B2" s="143" t="s">
        <v>3</v>
      </c>
      <c r="C2" s="143" t="s">
        <v>4</v>
      </c>
      <c r="D2" s="143" t="s">
        <v>354</v>
      </c>
      <c r="E2" s="143" t="s">
        <v>355</v>
      </c>
      <c r="F2" s="143" t="s">
        <v>368</v>
      </c>
    </row>
    <row r="3" spans="1:6" ht="17.55" customHeight="1">
      <c r="A3" s="139">
        <v>1</v>
      </c>
      <c r="B3" s="134" t="s">
        <v>40</v>
      </c>
      <c r="C3" s="134" t="s">
        <v>41</v>
      </c>
      <c r="D3" s="135">
        <f>SUMIF(온플!$E$2:$E$57,C3,온플!$I$2:$I$57)</f>
        <v>53165</v>
      </c>
      <c r="E3" s="135">
        <f>COUNTIF(온플!$E$2:$E$57,C3)</f>
        <v>25</v>
      </c>
      <c r="F3" s="138" t="s">
        <v>369</v>
      </c>
    </row>
    <row r="4" spans="1:6" ht="17.55" customHeight="1">
      <c r="A4" s="140">
        <v>2</v>
      </c>
      <c r="B4" s="136" t="s">
        <v>94</v>
      </c>
      <c r="C4" s="136" t="s">
        <v>95</v>
      </c>
      <c r="D4" s="137">
        <f>SUMIF(온플!$E$2:$E$57,C4,온플!$I$2:$I$57)</f>
        <v>5735</v>
      </c>
      <c r="E4" s="137">
        <f>COUNTIF(온플!$E$2:$E$57,C4)</f>
        <v>5</v>
      </c>
      <c r="F4" s="138" t="s">
        <v>370</v>
      </c>
    </row>
    <row r="5" spans="1:6" ht="17.55" customHeight="1">
      <c r="A5" s="141">
        <v>3</v>
      </c>
      <c r="B5" s="134" t="s">
        <v>198</v>
      </c>
      <c r="C5" s="134" t="s">
        <v>199</v>
      </c>
      <c r="D5" s="135">
        <f>SUMIF(온플!$E$2:$E$57,C5,온플!$I$2:$I$57)</f>
        <v>3334</v>
      </c>
      <c r="E5" s="135">
        <f>COUNTIF(온플!$E$2:$E$57,C5)</f>
        <v>3</v>
      </c>
      <c r="F5" s="138" t="s">
        <v>372</v>
      </c>
    </row>
    <row r="6" spans="1:6" ht="17.55" customHeight="1">
      <c r="A6" s="136">
        <v>4</v>
      </c>
      <c r="B6" s="136" t="s">
        <v>295</v>
      </c>
      <c r="C6" s="136" t="s">
        <v>296</v>
      </c>
      <c r="D6" s="137">
        <f>SUMIF(온플!$E$2:$E$57,C6,온플!$I$2:$I$57)</f>
        <v>2996</v>
      </c>
      <c r="E6" s="137">
        <f>COUNTIF(온플!$E$2:$E$57,C6)</f>
        <v>2</v>
      </c>
      <c r="F6" s="138" t="s">
        <v>370</v>
      </c>
    </row>
    <row r="7" spans="1:6" ht="17.55" customHeight="1">
      <c r="A7" s="134">
        <v>5</v>
      </c>
      <c r="B7" s="134" t="s">
        <v>86</v>
      </c>
      <c r="C7" s="134" t="s">
        <v>87</v>
      </c>
      <c r="D7" s="135">
        <f>SUMIF(온플!$E$2:$E$57,C7,온플!$I$2:$I$57)</f>
        <v>1470</v>
      </c>
      <c r="E7" s="135">
        <f>COUNTIF(온플!$E$2:$E$57,C7)</f>
        <v>1</v>
      </c>
      <c r="F7" s="138" t="s">
        <v>373</v>
      </c>
    </row>
    <row r="8" spans="1:6" ht="17.55" customHeight="1">
      <c r="A8" s="136">
        <v>6</v>
      </c>
      <c r="B8" s="136" t="s">
        <v>124</v>
      </c>
      <c r="C8" s="136" t="s">
        <v>125</v>
      </c>
      <c r="D8" s="137">
        <f>SUMIF(온플!$E$2:$E$57,C8,온플!$I$2:$I$57)</f>
        <v>1077</v>
      </c>
      <c r="E8" s="137">
        <f>COUNTIF(온플!$E$2:$E$57,C8)</f>
        <v>1</v>
      </c>
      <c r="F8" s="138" t="s">
        <v>374</v>
      </c>
    </row>
    <row r="9" spans="1:6" ht="17.55" customHeight="1">
      <c r="A9" s="134">
        <v>7</v>
      </c>
      <c r="B9" s="134" t="s">
        <v>176</v>
      </c>
      <c r="C9" s="134" t="s">
        <v>177</v>
      </c>
      <c r="D9" s="135">
        <f>SUMIF(온플!$E$2:$E$57,C9,온플!$I$2:$I$57)</f>
        <v>1014</v>
      </c>
      <c r="E9" s="135">
        <f>COUNTIF(온플!$E$2:$E$57,C9)</f>
        <v>1</v>
      </c>
      <c r="F9" s="138" t="s">
        <v>374</v>
      </c>
    </row>
    <row r="10" spans="1:6" ht="17.55" customHeight="1">
      <c r="A10" s="136">
        <v>8</v>
      </c>
      <c r="B10" s="136" t="s">
        <v>324</v>
      </c>
      <c r="C10" s="136" t="s">
        <v>325</v>
      </c>
      <c r="D10" s="137">
        <f>SUMIF(온플!$E$2:$E$57,C10,온플!$I$2:$I$57)</f>
        <v>743</v>
      </c>
      <c r="E10" s="137">
        <f>COUNTIF(온플!$E$2:$E$57,C10)</f>
        <v>2</v>
      </c>
      <c r="F10" s="138" t="s">
        <v>382</v>
      </c>
    </row>
    <row r="11" spans="1:6" ht="17.55" customHeight="1">
      <c r="A11" s="134">
        <v>9</v>
      </c>
      <c r="B11" s="134" t="s">
        <v>70</v>
      </c>
      <c r="C11" s="134" t="s">
        <v>71</v>
      </c>
      <c r="D11" s="135">
        <f>SUMIF(온플!$E$2:$E$57,C11,온플!$I$2:$I$57)</f>
        <v>680</v>
      </c>
      <c r="E11" s="135">
        <f>COUNTIF(온플!$E$2:$E$57,C11)</f>
        <v>2</v>
      </c>
      <c r="F11" s="138" t="s">
        <v>375</v>
      </c>
    </row>
    <row r="12" spans="1:6" ht="17.55" customHeight="1">
      <c r="A12" s="136">
        <v>10</v>
      </c>
      <c r="B12" s="136" t="s">
        <v>332</v>
      </c>
      <c r="C12" s="136" t="s">
        <v>333</v>
      </c>
      <c r="D12" s="137">
        <f>SUMIF(온플!$E$2:$E$57,C12,온플!$I$2:$I$57)</f>
        <v>548</v>
      </c>
      <c r="E12" s="137">
        <f>COUNTIF(온플!$E$2:$E$57,C12)</f>
        <v>2</v>
      </c>
      <c r="F12" s="138" t="s">
        <v>376</v>
      </c>
    </row>
    <row r="13" spans="1:6" ht="17.55" customHeight="1">
      <c r="A13" s="134">
        <v>11</v>
      </c>
      <c r="B13" s="134" t="s">
        <v>202</v>
      </c>
      <c r="C13" s="134" t="s">
        <v>203</v>
      </c>
      <c r="D13" s="135">
        <f>SUMIF(온플!$E$2:$E$57,C13,온플!$I$2:$I$57)</f>
        <v>543</v>
      </c>
      <c r="E13" s="135">
        <f>COUNTIF(온플!$E$2:$E$57,C13)</f>
        <v>3</v>
      </c>
      <c r="F13" s="138" t="s">
        <v>376</v>
      </c>
    </row>
    <row r="14" spans="1:6" ht="17.55" customHeight="1">
      <c r="A14" s="136">
        <v>12</v>
      </c>
      <c r="B14" s="136" t="s">
        <v>162</v>
      </c>
      <c r="C14" s="136" t="s">
        <v>163</v>
      </c>
      <c r="D14" s="137">
        <f>SUMIF(온플!$E$2:$E$57,C14,온플!$I$2:$I$57)</f>
        <v>540</v>
      </c>
      <c r="E14" s="137">
        <f>COUNTIF(온플!$E$2:$E$57,C14)</f>
        <v>2</v>
      </c>
      <c r="F14" s="138" t="s">
        <v>376</v>
      </c>
    </row>
    <row r="15" spans="1:6" ht="17.55" customHeight="1">
      <c r="A15" s="134">
        <v>13</v>
      </c>
      <c r="B15" s="134" t="s">
        <v>112</v>
      </c>
      <c r="C15" s="134" t="s">
        <v>113</v>
      </c>
      <c r="D15" s="135">
        <f>SUMIF(온플!$E$2:$E$57,C15,온플!$I$2:$I$57)</f>
        <v>500</v>
      </c>
      <c r="E15" s="135">
        <f>COUNTIF(온플!$E$2:$E$57,C15)</f>
        <v>2</v>
      </c>
      <c r="F15" s="138" t="s">
        <v>376</v>
      </c>
    </row>
    <row r="16" spans="1:6" ht="17.55" customHeight="1">
      <c r="A16" s="136">
        <v>14</v>
      </c>
      <c r="B16" s="136" t="s">
        <v>19</v>
      </c>
      <c r="C16" s="136" t="s">
        <v>20</v>
      </c>
      <c r="D16" s="137">
        <f>SUMIF(온플!$E$2:$E$57,C16,온플!$I$2:$I$57)</f>
        <v>100</v>
      </c>
      <c r="E16" s="137">
        <f>COUNTIF(온플!$E$2:$E$57,C16)</f>
        <v>1</v>
      </c>
      <c r="F16" s="138" t="s">
        <v>377</v>
      </c>
    </row>
    <row r="17" spans="1:6" ht="17.55" customHeight="1">
      <c r="A17" s="134">
        <v>15</v>
      </c>
      <c r="B17" s="134" t="s">
        <v>147</v>
      </c>
      <c r="C17" s="134" t="s">
        <v>148</v>
      </c>
      <c r="D17" s="135">
        <f>SUMIF(온플!$E$2:$E$57,C17,온플!$I$2:$I$57)</f>
        <v>100</v>
      </c>
      <c r="E17" s="135">
        <f>COUNTIF(온플!$E$2:$E$57,C17)</f>
        <v>1</v>
      </c>
      <c r="F17" s="138" t="s">
        <v>377</v>
      </c>
    </row>
    <row r="18" spans="1:6" ht="17.55" customHeight="1">
      <c r="A18" s="136">
        <v>16</v>
      </c>
      <c r="B18" s="136" t="s">
        <v>30</v>
      </c>
      <c r="C18" s="136" t="s">
        <v>31</v>
      </c>
      <c r="D18" s="137">
        <f>SUMIF(온플!$E$2:$E$57,C18,온플!$I$2:$I$57)</f>
        <v>20</v>
      </c>
      <c r="E18" s="137">
        <f>COUNTIF(온플!$E$2:$E$57,C18)</f>
        <v>2</v>
      </c>
      <c r="F18" s="138" t="s">
        <v>367</v>
      </c>
    </row>
    <row r="19" spans="1:6" ht="17.55" customHeight="1">
      <c r="A19" s="134">
        <v>17</v>
      </c>
      <c r="B19" s="134" t="s">
        <v>48</v>
      </c>
      <c r="C19" s="134" t="s">
        <v>49</v>
      </c>
      <c r="D19" s="135">
        <f>SUMIF(온플!$E$2:$E$57,C19,온플!$I$2:$I$57)</f>
        <v>10</v>
      </c>
      <c r="E19" s="135">
        <f>COUNTIF(온플!$E$2:$E$57,C19)</f>
        <v>1</v>
      </c>
      <c r="F19" s="138" t="s">
        <v>367</v>
      </c>
    </row>
    <row r="20" spans="1:6" ht="21.6" customHeight="1">
      <c r="A20" s="144" t="s">
        <v>356</v>
      </c>
      <c r="B20" s="144" t="s">
        <v>358</v>
      </c>
      <c r="C20" s="144"/>
      <c r="D20" s="145">
        <f>SUM(D3:D19)</f>
        <v>72575</v>
      </c>
      <c r="E20" s="145">
        <f>SUM(E3:E19)</f>
        <v>56</v>
      </c>
      <c r="F20" s="146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tabSelected="1" workbookViewId="0">
      <selection sqref="A1:F23"/>
    </sheetView>
  </sheetViews>
  <sheetFormatPr defaultRowHeight="16.2"/>
  <cols>
    <col min="1" max="1" width="9" style="120" customWidth="1"/>
    <col min="2" max="2" width="24" style="120" customWidth="1"/>
    <col min="3" max="3" width="22" style="120" customWidth="1"/>
    <col min="4" max="4" width="18" style="120" customWidth="1"/>
    <col min="5" max="5" width="15" style="120" customWidth="1"/>
    <col min="6" max="6" width="60.09765625" style="120" customWidth="1"/>
  </cols>
  <sheetData>
    <row r="1" spans="1:6" ht="27.15" customHeight="1">
      <c r="A1" s="147" t="s">
        <v>365</v>
      </c>
      <c r="B1" s="147"/>
      <c r="C1" s="147"/>
      <c r="D1" s="147"/>
      <c r="E1" s="147"/>
      <c r="F1" s="147"/>
    </row>
    <row r="2" spans="1:6" ht="21.6" customHeight="1">
      <c r="A2" s="148" t="s">
        <v>353</v>
      </c>
      <c r="B2" s="148" t="s">
        <v>3</v>
      </c>
      <c r="C2" s="148" t="s">
        <v>4</v>
      </c>
      <c r="D2" s="148" t="s">
        <v>354</v>
      </c>
      <c r="E2" s="148" t="s">
        <v>355</v>
      </c>
      <c r="F2" s="148" t="s">
        <v>371</v>
      </c>
    </row>
    <row r="3" spans="1:6" ht="17.55" customHeight="1">
      <c r="A3" s="139">
        <v>1</v>
      </c>
      <c r="B3" s="134" t="s">
        <v>222</v>
      </c>
      <c r="C3" s="134" t="s">
        <v>223</v>
      </c>
      <c r="D3" s="135">
        <f>SUMIF(은플!$E$2:$E$85,C3,은플!$I$2:$I$85)</f>
        <v>18591</v>
      </c>
      <c r="E3" s="135">
        <f>COUNTIF(은플!$E$2:$E$85,C3)</f>
        <v>17</v>
      </c>
      <c r="F3" s="138" t="s">
        <v>381</v>
      </c>
    </row>
    <row r="4" spans="1:6" ht="17.55" customHeight="1">
      <c r="A4" s="140">
        <v>2</v>
      </c>
      <c r="B4" s="136" t="s">
        <v>313</v>
      </c>
      <c r="C4" s="136" t="s">
        <v>314</v>
      </c>
      <c r="D4" s="137">
        <f>SUMIF(은플!$E$2:$E$85,C4,은플!$I$2:$I$85)</f>
        <v>15569</v>
      </c>
      <c r="E4" s="137">
        <f>COUNTIF(은플!$E$2:$E$85,C4)</f>
        <v>11</v>
      </c>
      <c r="F4" s="138" t="s">
        <v>381</v>
      </c>
    </row>
    <row r="5" spans="1:6" ht="17.55" customHeight="1">
      <c r="A5" s="141">
        <v>3</v>
      </c>
      <c r="B5" s="134" t="s">
        <v>40</v>
      </c>
      <c r="C5" s="134" t="s">
        <v>41</v>
      </c>
      <c r="D5" s="135">
        <f>SUMIF(은플!$E$2:$E$85,C5,은플!$I$2:$I$85)</f>
        <v>6132</v>
      </c>
      <c r="E5" s="135">
        <f>COUNTIF(은플!$E$2:$E$85,C5)</f>
        <v>9</v>
      </c>
      <c r="F5" s="138" t="s">
        <v>373</v>
      </c>
    </row>
    <row r="6" spans="1:6" ht="17.55" customHeight="1">
      <c r="A6" s="136">
        <v>4</v>
      </c>
      <c r="B6" s="136" t="s">
        <v>170</v>
      </c>
      <c r="C6" s="136" t="s">
        <v>171</v>
      </c>
      <c r="D6" s="137">
        <f>SUMIF(은플!$E$2:$E$85,C6,은플!$I$2:$I$85)</f>
        <v>5460</v>
      </c>
      <c r="E6" s="137">
        <f>COUNTIF(은플!$E$2:$E$85,C6)</f>
        <v>8</v>
      </c>
      <c r="F6" s="138" t="s">
        <v>373</v>
      </c>
    </row>
    <row r="7" spans="1:6" ht="17.55" customHeight="1">
      <c r="A7" s="134">
        <v>5</v>
      </c>
      <c r="B7" s="134" t="s">
        <v>198</v>
      </c>
      <c r="C7" s="134" t="s">
        <v>199</v>
      </c>
      <c r="D7" s="135">
        <f>SUMIF(은플!$E$2:$E$85,C7,은플!$I$2:$I$85)</f>
        <v>3677</v>
      </c>
      <c r="E7" s="135">
        <f>COUNTIF(은플!$E$2:$E$85,C7)</f>
        <v>7</v>
      </c>
      <c r="F7" s="138" t="s">
        <v>373</v>
      </c>
    </row>
    <row r="8" spans="1:6" ht="17.55" customHeight="1">
      <c r="A8" s="136">
        <v>6</v>
      </c>
      <c r="B8" s="136" t="s">
        <v>304</v>
      </c>
      <c r="C8" s="136" t="s">
        <v>305</v>
      </c>
      <c r="D8" s="137">
        <f>SUMIF(은플!$E$2:$E$85,C8,은플!$I$2:$I$85)</f>
        <v>2277</v>
      </c>
      <c r="E8" s="137">
        <f>COUNTIF(은플!$E$2:$E$85,C8)</f>
        <v>2</v>
      </c>
      <c r="F8" s="138" t="s">
        <v>378</v>
      </c>
    </row>
    <row r="9" spans="1:6" ht="17.55" customHeight="1">
      <c r="A9" s="134">
        <v>7</v>
      </c>
      <c r="B9" s="134" t="s">
        <v>324</v>
      </c>
      <c r="C9" s="134" t="s">
        <v>325</v>
      </c>
      <c r="D9" s="135">
        <f>SUMIF(은플!$E$2:$E$85,C9,은플!$I$2:$I$85)</f>
        <v>1720</v>
      </c>
      <c r="E9" s="135">
        <f>COUNTIF(은플!$E$2:$E$85,C9)</f>
        <v>4</v>
      </c>
      <c r="F9" s="138" t="s">
        <v>378</v>
      </c>
    </row>
    <row r="10" spans="1:6" ht="17.55" customHeight="1">
      <c r="A10" s="136">
        <v>8</v>
      </c>
      <c r="B10" s="136" t="s">
        <v>94</v>
      </c>
      <c r="C10" s="136" t="s">
        <v>95</v>
      </c>
      <c r="D10" s="137">
        <f>SUMIF(은플!$E$2:$E$85,C10,은플!$I$2:$I$85)</f>
        <v>1538</v>
      </c>
      <c r="E10" s="137">
        <f>COUNTIF(은플!$E$2:$E$85,C10)</f>
        <v>4</v>
      </c>
      <c r="F10" s="138" t="s">
        <v>378</v>
      </c>
    </row>
    <row r="11" spans="1:6" ht="17.55" customHeight="1">
      <c r="A11" s="134">
        <v>9</v>
      </c>
      <c r="B11" s="134" t="s">
        <v>118</v>
      </c>
      <c r="C11" s="134" t="s">
        <v>119</v>
      </c>
      <c r="D11" s="135">
        <f>SUMIF(은플!$E$2:$E$85,C11,은플!$I$2:$I$85)</f>
        <v>1005</v>
      </c>
      <c r="E11" s="135">
        <f>COUNTIF(은플!$E$2:$E$85,C11)</f>
        <v>4</v>
      </c>
      <c r="F11" s="138" t="s">
        <v>378</v>
      </c>
    </row>
    <row r="12" spans="1:6" ht="17.55" customHeight="1">
      <c r="A12" s="136">
        <v>10</v>
      </c>
      <c r="B12" s="136" t="s">
        <v>138</v>
      </c>
      <c r="C12" s="136" t="s">
        <v>139</v>
      </c>
      <c r="D12" s="137">
        <f>SUMIF(은플!$E$2:$E$85,C12,은플!$I$2:$I$85)</f>
        <v>766</v>
      </c>
      <c r="E12" s="137">
        <f>COUNTIF(은플!$E$2:$E$85,C12)</f>
        <v>3</v>
      </c>
      <c r="F12" s="138" t="s">
        <v>378</v>
      </c>
    </row>
    <row r="13" spans="1:6" ht="17.55" customHeight="1">
      <c r="A13" s="134">
        <v>11</v>
      </c>
      <c r="B13" s="134" t="s">
        <v>30</v>
      </c>
      <c r="C13" s="134" t="s">
        <v>31</v>
      </c>
      <c r="D13" s="135">
        <f>SUMIF(은플!$E$2:$E$85,C13,은플!$I$2:$I$85)</f>
        <v>639</v>
      </c>
      <c r="E13" s="135">
        <f>COUNTIF(은플!$E$2:$E$85,C13)</f>
        <v>4</v>
      </c>
      <c r="F13" s="138" t="s">
        <v>378</v>
      </c>
    </row>
    <row r="14" spans="1:6" ht="17.55" customHeight="1">
      <c r="A14" s="136">
        <v>12</v>
      </c>
      <c r="B14" s="136" t="s">
        <v>332</v>
      </c>
      <c r="C14" s="136" t="s">
        <v>333</v>
      </c>
      <c r="D14" s="137">
        <f>SUMIF(은플!$E$2:$E$85,C14,은플!$I$2:$I$85)</f>
        <v>588</v>
      </c>
      <c r="E14" s="137">
        <f>COUNTIF(은플!$E$2:$E$85,C14)</f>
        <v>2</v>
      </c>
      <c r="F14" s="138" t="s">
        <v>378</v>
      </c>
    </row>
    <row r="15" spans="1:6" ht="17.55" customHeight="1">
      <c r="A15" s="134">
        <v>13</v>
      </c>
      <c r="B15" s="134" t="s">
        <v>124</v>
      </c>
      <c r="C15" s="134" t="s">
        <v>125</v>
      </c>
      <c r="D15" s="135">
        <f>SUMIF(은플!$E$2:$E$85,C15,은플!$I$2:$I$85)</f>
        <v>467</v>
      </c>
      <c r="E15" s="135">
        <f>COUNTIF(은플!$E$2:$E$85,C15)</f>
        <v>1</v>
      </c>
      <c r="F15" s="138" t="s">
        <v>379</v>
      </c>
    </row>
    <row r="16" spans="1:6" ht="17.55" customHeight="1">
      <c r="A16" s="136">
        <v>14</v>
      </c>
      <c r="B16" s="136" t="s">
        <v>48</v>
      </c>
      <c r="C16" s="136" t="s">
        <v>49</v>
      </c>
      <c r="D16" s="137">
        <f>SUMIF(은플!$E$2:$E$85,C16,은플!$I$2:$I$85)</f>
        <v>348</v>
      </c>
      <c r="E16" s="137">
        <f>COUNTIF(은플!$E$2:$E$85,C16)</f>
        <v>2</v>
      </c>
      <c r="F16" s="138" t="s">
        <v>379</v>
      </c>
    </row>
    <row r="17" spans="1:6" ht="17.55" customHeight="1">
      <c r="A17" s="134">
        <v>15</v>
      </c>
      <c r="B17" s="134" t="s">
        <v>52</v>
      </c>
      <c r="C17" s="134" t="s">
        <v>53</v>
      </c>
      <c r="D17" s="135">
        <f>SUMIF(은플!$E$2:$E$85,C17,은플!$I$2:$I$85)</f>
        <v>107</v>
      </c>
      <c r="E17" s="135">
        <f>COUNTIF(은플!$E$2:$E$85,C17)</f>
        <v>1</v>
      </c>
      <c r="F17" s="138" t="s">
        <v>379</v>
      </c>
    </row>
    <row r="18" spans="1:6" ht="17.55" customHeight="1">
      <c r="A18" s="136">
        <v>16</v>
      </c>
      <c r="B18" s="136" t="s">
        <v>112</v>
      </c>
      <c r="C18" s="136" t="s">
        <v>113</v>
      </c>
      <c r="D18" s="137">
        <f>SUMIF(은플!$E$2:$E$85,C18,은플!$I$2:$I$85)</f>
        <v>100</v>
      </c>
      <c r="E18" s="137">
        <f>COUNTIF(은플!$E$2:$E$85,C18)</f>
        <v>1</v>
      </c>
      <c r="F18" s="138" t="s">
        <v>379</v>
      </c>
    </row>
    <row r="19" spans="1:6" ht="17.55" customHeight="1">
      <c r="A19" s="134">
        <v>17</v>
      </c>
      <c r="B19" s="134" t="s">
        <v>147</v>
      </c>
      <c r="C19" s="134" t="s">
        <v>148</v>
      </c>
      <c r="D19" s="135">
        <f>SUMIF(은플!$E$2:$E$85,C19,은플!$I$2:$I$85)</f>
        <v>100</v>
      </c>
      <c r="E19" s="135">
        <f>COUNTIF(은플!$E$2:$E$85,C19)</f>
        <v>1</v>
      </c>
      <c r="F19" s="138" t="s">
        <v>379</v>
      </c>
    </row>
    <row r="20" spans="1:6" ht="17.55" customHeight="1">
      <c r="A20" s="136">
        <v>18</v>
      </c>
      <c r="B20" s="136" t="s">
        <v>86</v>
      </c>
      <c r="C20" s="136" t="s">
        <v>87</v>
      </c>
      <c r="D20" s="137">
        <f>SUMIF(은플!$E$2:$E$85,C20,은플!$I$2:$I$85)</f>
        <v>30</v>
      </c>
      <c r="E20" s="137">
        <f>COUNTIF(은플!$E$2:$E$85,C20)</f>
        <v>1</v>
      </c>
      <c r="F20" s="138" t="s">
        <v>379</v>
      </c>
    </row>
    <row r="21" spans="1:6" ht="17.55" customHeight="1">
      <c r="A21" s="134">
        <v>19</v>
      </c>
      <c r="B21" s="134" t="s">
        <v>12</v>
      </c>
      <c r="C21" s="134" t="s">
        <v>13</v>
      </c>
      <c r="D21" s="135">
        <f>SUMIF(은플!$E$2:$E$85,C21,은플!$I$2:$I$85)</f>
        <v>10</v>
      </c>
      <c r="E21" s="135">
        <f>COUNTIF(은플!$E$2:$E$85,C21)</f>
        <v>1</v>
      </c>
      <c r="F21" s="138" t="s">
        <v>379</v>
      </c>
    </row>
    <row r="22" spans="1:6" ht="17.55" customHeight="1">
      <c r="A22" s="136">
        <v>20</v>
      </c>
      <c r="B22" s="136" t="s">
        <v>75</v>
      </c>
      <c r="C22" s="136" t="s">
        <v>76</v>
      </c>
      <c r="D22" s="137">
        <f>SUMIF(은플!$E$2:$E$85,C22,은플!$I$2:$I$85)</f>
        <v>10</v>
      </c>
      <c r="E22" s="137">
        <f>COUNTIF(은플!$E$2:$E$85,C22)</f>
        <v>1</v>
      </c>
      <c r="F22" s="138" t="s">
        <v>379</v>
      </c>
    </row>
    <row r="23" spans="1:6" ht="21.6" customHeight="1">
      <c r="A23" s="149" t="s">
        <v>356</v>
      </c>
      <c r="B23" s="149" t="s">
        <v>359</v>
      </c>
      <c r="C23" s="149"/>
      <c r="D23" s="150">
        <f>SUM(D3:D22)</f>
        <v>59134</v>
      </c>
      <c r="E23" s="150">
        <f>SUM(E3:E22)</f>
        <v>84</v>
      </c>
      <c r="F23" s="151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F5" sqref="F5"/>
    </sheetView>
  </sheetViews>
  <sheetFormatPr defaultRowHeight="16.2"/>
  <cols>
    <col min="1" max="1" width="9" style="120" customWidth="1"/>
    <col min="2" max="2" width="24" style="120" customWidth="1"/>
    <col min="3" max="3" width="22" style="120" customWidth="1"/>
    <col min="4" max="4" width="18" style="120" customWidth="1"/>
    <col min="5" max="5" width="15" style="120" customWidth="1"/>
  </cols>
  <sheetData>
    <row r="1" spans="1:5" ht="27.15" customHeight="1">
      <c r="A1" s="122" t="s">
        <v>360</v>
      </c>
      <c r="B1" s="122"/>
      <c r="C1" s="122"/>
      <c r="D1" s="122"/>
      <c r="E1" s="122"/>
    </row>
    <row r="2" spans="1:5" ht="21.6" customHeight="1">
      <c r="A2" s="121" t="s">
        <v>353</v>
      </c>
      <c r="B2" s="121" t="s">
        <v>3</v>
      </c>
      <c r="C2" s="121" t="s">
        <v>4</v>
      </c>
      <c r="D2" s="121" t="s">
        <v>354</v>
      </c>
      <c r="E2" s="121" t="s">
        <v>355</v>
      </c>
    </row>
    <row r="3" spans="1:5" ht="17.55" customHeight="1">
      <c r="A3" s="116">
        <v>1</v>
      </c>
      <c r="B3" s="116" t="s">
        <v>324</v>
      </c>
      <c r="C3" s="116" t="s">
        <v>325</v>
      </c>
      <c r="D3" s="118">
        <f>SUMIF(온마!$E$2:$E$31,C3,온마!$I$2:$I$31)</f>
        <v>500</v>
      </c>
      <c r="E3" s="118">
        <f>COUNTIF(온마!$E$2:$E$31,C3)</f>
        <v>1</v>
      </c>
    </row>
    <row r="4" spans="1:5" ht="17.55" customHeight="1">
      <c r="A4" s="117">
        <v>2</v>
      </c>
      <c r="B4" s="117" t="s">
        <v>48</v>
      </c>
      <c r="C4" s="117" t="s">
        <v>49</v>
      </c>
      <c r="D4" s="119">
        <f>SUMIF(온마!$E$2:$E$31,C4,온마!$I$2:$I$31)</f>
        <v>428</v>
      </c>
      <c r="E4" s="119">
        <f>COUNTIF(온마!$E$2:$E$31,C4)</f>
        <v>17</v>
      </c>
    </row>
    <row r="5" spans="1:5" ht="17.55" customHeight="1">
      <c r="A5" s="116">
        <v>3</v>
      </c>
      <c r="B5" s="116" t="s">
        <v>25</v>
      </c>
      <c r="C5" s="116" t="s">
        <v>26</v>
      </c>
      <c r="D5" s="118">
        <f>SUMIF(온마!$E$2:$E$31,C5,온마!$I$2:$I$31)</f>
        <v>100</v>
      </c>
      <c r="E5" s="118">
        <f>COUNTIF(온마!$E$2:$E$31,C5)</f>
        <v>1</v>
      </c>
    </row>
    <row r="6" spans="1:5" ht="17.55" customHeight="1">
      <c r="A6" s="117">
        <v>4</v>
      </c>
      <c r="B6" s="117" t="s">
        <v>40</v>
      </c>
      <c r="C6" s="117" t="s">
        <v>41</v>
      </c>
      <c r="D6" s="119">
        <f>SUMIF(온마!$E$2:$E$31,C6,온마!$I$2:$I$31)</f>
        <v>100</v>
      </c>
      <c r="E6" s="119">
        <f>COUNTIF(온마!$E$2:$E$31,C6)</f>
        <v>1</v>
      </c>
    </row>
    <row r="7" spans="1:5" ht="17.55" customHeight="1">
      <c r="A7" s="116">
        <v>5</v>
      </c>
      <c r="B7" s="116" t="s">
        <v>198</v>
      </c>
      <c r="C7" s="116" t="s">
        <v>199</v>
      </c>
      <c r="D7" s="118">
        <f>SUMIF(온마!$E$2:$E$31,C7,온마!$I$2:$I$31)</f>
        <v>40</v>
      </c>
      <c r="E7" s="118">
        <f>COUNTIF(온마!$E$2:$E$31,C7)</f>
        <v>4</v>
      </c>
    </row>
    <row r="8" spans="1:5" ht="17.55" customHeight="1">
      <c r="A8" s="117">
        <v>6</v>
      </c>
      <c r="B8" s="117" t="s">
        <v>34</v>
      </c>
      <c r="C8" s="117" t="s">
        <v>35</v>
      </c>
      <c r="D8" s="119">
        <f>SUMIF(온마!$E$2:$E$31,C8,온마!$I$2:$I$31)</f>
        <v>20</v>
      </c>
      <c r="E8" s="119">
        <f>COUNTIF(온마!$E$2:$E$31,C8)</f>
        <v>2</v>
      </c>
    </row>
    <row r="9" spans="1:5" ht="17.55" customHeight="1">
      <c r="A9" s="116">
        <v>7</v>
      </c>
      <c r="B9" s="116" t="s">
        <v>12</v>
      </c>
      <c r="C9" s="116" t="s">
        <v>13</v>
      </c>
      <c r="D9" s="118">
        <f>SUMIF(온마!$E$2:$E$31,C9,온마!$I$2:$I$31)</f>
        <v>20</v>
      </c>
      <c r="E9" s="118">
        <f>COUNTIF(온마!$E$2:$E$31,C9)</f>
        <v>2</v>
      </c>
    </row>
    <row r="10" spans="1:5" ht="17.55" customHeight="1">
      <c r="A10" s="117">
        <v>8</v>
      </c>
      <c r="B10" s="117" t="s">
        <v>30</v>
      </c>
      <c r="C10" s="117" t="s">
        <v>31</v>
      </c>
      <c r="D10" s="119">
        <f>SUMIF(온마!$E$2:$E$31,C10,온마!$I$2:$I$31)</f>
        <v>20</v>
      </c>
      <c r="E10" s="119">
        <f>COUNTIF(온마!$E$2:$E$31,C10)</f>
        <v>2</v>
      </c>
    </row>
    <row r="11" spans="1:5" ht="21.6" customHeight="1">
      <c r="A11" s="123" t="s">
        <v>356</v>
      </c>
      <c r="B11" s="123" t="s">
        <v>361</v>
      </c>
      <c r="C11" s="123"/>
      <c r="D11" s="124">
        <f>SUM(D3:D10)</f>
        <v>1228</v>
      </c>
      <c r="E11" s="124">
        <f>SUM(E3:E10)</f>
        <v>30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selection activeCell="H5" sqref="H5"/>
    </sheetView>
  </sheetViews>
  <sheetFormatPr defaultRowHeight="16.2"/>
  <cols>
    <col min="1" max="1" width="9" style="120" customWidth="1"/>
    <col min="2" max="2" width="24" style="120" customWidth="1"/>
    <col min="3" max="3" width="22" style="120" customWidth="1"/>
    <col min="4" max="4" width="18" style="120" customWidth="1"/>
    <col min="5" max="5" width="15" style="120" customWidth="1"/>
  </cols>
  <sheetData>
    <row r="1" spans="1:5" ht="27.15" customHeight="1">
      <c r="A1" s="126" t="s">
        <v>362</v>
      </c>
      <c r="B1" s="126"/>
      <c r="C1" s="126"/>
      <c r="D1" s="126"/>
      <c r="E1" s="126"/>
    </row>
    <row r="2" spans="1:5" ht="21.6" customHeight="1">
      <c r="A2" s="125" t="s">
        <v>353</v>
      </c>
      <c r="B2" s="125" t="s">
        <v>3</v>
      </c>
      <c r="C2" s="125" t="s">
        <v>4</v>
      </c>
      <c r="D2" s="125" t="s">
        <v>354</v>
      </c>
      <c r="E2" s="125" t="s">
        <v>355</v>
      </c>
    </row>
    <row r="3" spans="1:5" ht="17.55" customHeight="1">
      <c r="A3" s="116">
        <v>1</v>
      </c>
      <c r="B3" s="116" t="s">
        <v>30</v>
      </c>
      <c r="C3" s="116" t="s">
        <v>31</v>
      </c>
      <c r="D3" s="118">
        <f>SUMIF(은마!$E$2:$E$4,C3,은마!$I$2:$I$4)</f>
        <v>18</v>
      </c>
      <c r="E3" s="118">
        <f>COUNTIF(은마!$E$2:$E$4,C3)</f>
        <v>1</v>
      </c>
    </row>
    <row r="4" spans="1:5" ht="17.55" customHeight="1">
      <c r="A4" s="117">
        <v>2</v>
      </c>
      <c r="B4" s="117" t="s">
        <v>48</v>
      </c>
      <c r="C4" s="117" t="s">
        <v>49</v>
      </c>
      <c r="D4" s="119">
        <f>SUMIF(은마!$E$2:$E$4,C4,은마!$I$2:$I$4)</f>
        <v>10</v>
      </c>
      <c r="E4" s="119">
        <f>COUNTIF(은마!$E$2:$E$4,C4)</f>
        <v>1</v>
      </c>
    </row>
    <row r="5" spans="1:5" ht="17.55" customHeight="1">
      <c r="A5" s="116">
        <v>3</v>
      </c>
      <c r="B5" s="116" t="s">
        <v>40</v>
      </c>
      <c r="C5" s="116" t="s">
        <v>41</v>
      </c>
      <c r="D5" s="118">
        <f>SUMIF(은마!$E$2:$E$4,C5,은마!$I$2:$I$4)</f>
        <v>10</v>
      </c>
      <c r="E5" s="118">
        <f>COUNTIF(은마!$E$2:$E$4,C5)</f>
        <v>1</v>
      </c>
    </row>
    <row r="6" spans="1:5" ht="21.6" customHeight="1">
      <c r="A6" s="127" t="s">
        <v>356</v>
      </c>
      <c r="B6" s="127" t="s">
        <v>363</v>
      </c>
      <c r="C6" s="127"/>
      <c r="D6" s="128">
        <f>SUM(D3:D5)</f>
        <v>38</v>
      </c>
      <c r="E6" s="128">
        <f>SUM(E3:E5)</f>
        <v>3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후원목록</vt:lpstr>
      <vt:lpstr>온플</vt:lpstr>
      <vt:lpstr>은플</vt:lpstr>
      <vt:lpstr>온마</vt:lpstr>
      <vt:lpstr>은마</vt:lpstr>
      <vt:lpstr>전체 후원자 순위</vt:lpstr>
      <vt:lpstr>온플 후원자 순위</vt:lpstr>
      <vt:lpstr>은플 후원자 순위</vt:lpstr>
      <vt:lpstr>온마 후원자 순위</vt:lpstr>
      <vt:lpstr>은마 후원자 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경민 남</cp:lastModifiedBy>
  <dcterms:created xsi:type="dcterms:W3CDTF">2026-09-19T12:05:59Z</dcterms:created>
  <dcterms:modified xsi:type="dcterms:W3CDTF">2026-09-19T12:25:23Z</dcterms:modified>
</cp:coreProperties>
</file>